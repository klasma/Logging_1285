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Y2">
        <f>HYPERLINK("https://klasma.github.io/Logging_1285/klagomål/S 146-2024 FSC-klagomål.docx", "S 146-2024")</f>
        <v/>
      </c>
      <c r="Z2">
        <f>HYPERLINK("https://klasma.github.io/Logging_1285/klagomålsmail/S 146-2024 FSC-klagomål mail.docx", "S 146-2024")</f>
        <v/>
      </c>
      <c r="AA2">
        <f>HYPERLINK("https://klasma.github.io/Logging_1285/tillsyn/S 146-2024 tillsynsbegäran.docx", "S 146-2024")</f>
        <v/>
      </c>
      <c r="AB2">
        <f>HYPERLINK("https://klasma.github.io/Logging_1285/tillsynsmail/S 146-2024 tillsynsbegäran mail.docx", "S 146-2024")</f>
        <v/>
      </c>
      <c r="AC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Y3">
        <f>HYPERLINK("https://klasma.github.io/Logging_1285/klagomål/A 53826-2024 FSC-klagomål.docx", "A 53826-2024")</f>
        <v/>
      </c>
      <c r="Z3">
        <f>HYPERLINK("https://klasma.github.io/Logging_1285/klagomålsmail/A 53826-2024 FSC-klagomål mail.docx", "A 53826-2024")</f>
        <v/>
      </c>
      <c r="AA3">
        <f>HYPERLINK("https://klasma.github.io/Logging_1285/tillsyn/A 53826-2024 tillsynsbegäran.docx", "A 53826-2024")</f>
        <v/>
      </c>
      <c r="AB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Y4">
        <f>HYPERLINK("https://klasma.github.io/Logging_1285/klagomål/A 6545-2023 FSC-klagomål.docx", "A 6545-2023")</f>
        <v/>
      </c>
      <c r="Z4">
        <f>HYPERLINK("https://klasma.github.io/Logging_1285/klagomålsmail/A 6545-2023 FSC-klagomål mail.docx", "A 6545-2023")</f>
        <v/>
      </c>
      <c r="AA4">
        <f>HYPERLINK("https://klasma.github.io/Logging_1285/tillsyn/A 6545-2023 tillsynsbegäran.docx", "A 6545-2023")</f>
        <v/>
      </c>
      <c r="AB4">
        <f>HYPERLINK("https://klasma.github.io/Logging_1285/tillsynsmail/A 6545-2023 tillsynsbegäran mail.docx", "A 6545-2023")</f>
        <v/>
      </c>
      <c r="AC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Y5">
        <f>HYPERLINK("https://klasma.github.io/Logging_1285/klagomål/S 5728-2022 FSC-klagomål.docx", "S 5728-2022")</f>
        <v/>
      </c>
      <c r="Z5">
        <f>HYPERLINK("https://klasma.github.io/Logging_1285/klagomålsmail/S 5728-2022 FSC-klagomål mail.docx", "S 5728-2022")</f>
        <v/>
      </c>
      <c r="AA5">
        <f>HYPERLINK("https://klasma.github.io/Logging_1285/tillsyn/S 5728-2022 tillsynsbegäran.docx", "S 5728-2022")</f>
        <v/>
      </c>
      <c r="AB5">
        <f>HYPERLINK("https://klasma.github.io/Logging_1285/tillsynsmail/S 5728-2022 tillsynsbegäran mail.docx", "S 5728-2022")</f>
        <v/>
      </c>
      <c r="AC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Y6">
        <f>HYPERLINK("https://klasma.github.io/Logging_1285/klagomål/A 28093-2025 FSC-klagomål.docx", "A 28093-2025")</f>
        <v/>
      </c>
      <c r="Z6">
        <f>HYPERLINK("https://klasma.github.io/Logging_1285/klagomålsmail/A 28093-2025 FSC-klagomål mail.docx", "A 28093-2025")</f>
        <v/>
      </c>
      <c r="AA6">
        <f>HYPERLINK("https://klasma.github.io/Logging_1285/tillsyn/A 28093-2025 tillsynsbegäran.docx", "A 28093-2025")</f>
        <v/>
      </c>
      <c r="AB6">
        <f>HYPERLINK("https://klasma.github.io/Logging_1285/tillsynsmail/A 28093-2025 tillsynsbegäran mail.docx", "A 28093-2025")</f>
        <v/>
      </c>
      <c r="AC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46220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s="2" t="inlineStr">
        <is>
          <t>Ask
Kransrams</t>
        </is>
      </c>
      <c r="V7">
        <f>HYPERLINK("https://klasma.github.io/Logging_1285/artfynd/A 14395-2026 artfynd.xlsx", "A 14395-2026")</f>
        <v/>
      </c>
      <c r="W7">
        <f>HYPERLINK("https://klasma.github.io/Logging_1285/kartor/A 14395-2026 karta.png", "A 14395-2026")</f>
        <v/>
      </c>
      <c r="Y7">
        <f>HYPERLINK("https://klasma.github.io/Logging_1285/klagomål/A 14395-2026 FSC-klagomål.docx", "A 14395-2026")</f>
        <v/>
      </c>
      <c r="Z7">
        <f>HYPERLINK("https://klasma.github.io/Logging_1285/klagomålsmail/A 14395-2026 FSC-klagomål mail.docx", "A 14395-2026")</f>
        <v/>
      </c>
      <c r="AA7">
        <f>HYPERLINK("https://klasma.github.io/Logging_1285/tillsyn/A 14395-2026 tillsynsbegäran.docx", "A 14395-2026")</f>
        <v/>
      </c>
      <c r="AB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46220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Älg
Kambräken</t>
        </is>
      </c>
      <c r="V8">
        <f>HYPERLINK("https://klasma.github.io/Logging_1285/artfynd/A 9487-2023 artfynd.xlsx", "A 9487-2023")</f>
        <v/>
      </c>
      <c r="W8">
        <f>HYPERLINK("https://klasma.github.io/Logging_1285/kartor/A 9487-2023 karta.png", "A 9487-2023")</f>
        <v/>
      </c>
      <c r="Y8">
        <f>HYPERLINK("https://klasma.github.io/Logging_1285/klagomål/A 9487-2023 FSC-klagomål.docx", "A 9487-2023")</f>
        <v/>
      </c>
      <c r="Z8">
        <f>HYPERLINK("https://klasma.github.io/Logging_1285/klagomålsmail/A 9487-2023 FSC-klagomål mail.docx", "A 9487-2023")</f>
        <v/>
      </c>
      <c r="AA8">
        <f>HYPERLINK("https://klasma.github.io/Logging_1285/tillsyn/A 9487-2023 tillsynsbegäran.docx", "A 9487-2023")</f>
        <v/>
      </c>
      <c r="AB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46220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Kransrams</t>
        </is>
      </c>
      <c r="V9">
        <f>HYPERLINK("https://klasma.github.io/Logging_1285/artfynd/A 23773-2025 artfynd.xlsx", "A 23773-2025")</f>
        <v/>
      </c>
      <c r="W9">
        <f>HYPERLINK("https://klasma.github.io/Logging_1285/kartor/A 23773-2025 karta.png", "A 23773-2025")</f>
        <v/>
      </c>
      <c r="Y9">
        <f>HYPERLINK("https://klasma.github.io/Logging_1285/klagomål/A 23773-2025 FSC-klagomål.docx", "A 23773-2025")</f>
        <v/>
      </c>
      <c r="Z9">
        <f>HYPERLINK("https://klasma.github.io/Logging_1285/klagomålsmail/A 23773-2025 FSC-klagomål mail.docx", "A 23773-2025")</f>
        <v/>
      </c>
      <c r="AA9">
        <f>HYPERLINK("https://klasma.github.io/Logging_1285/tillsyn/A 23773-2025 tillsynsbegäran.docx", "A 23773-2025")</f>
        <v/>
      </c>
      <c r="AB9">
        <f>HYPERLINK("https://klasma.github.io/Logging_1285/tillsynsmail/A 23773-2025 tillsynsbegäran mail.docx", "A 23773-2025")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46220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Spillkråka</t>
        </is>
      </c>
      <c r="V10">
        <f>HYPERLINK("https://klasma.github.io/Logging_1285/artfynd/A 24809-2025 artfynd.xlsx", "A 24809-2025")</f>
        <v/>
      </c>
      <c r="W10">
        <f>HYPERLINK("https://klasma.github.io/Logging_1285/kartor/A 24809-2025 karta.png", "A 24809-2025")</f>
        <v/>
      </c>
      <c r="Y10">
        <f>HYPERLINK("https://klasma.github.io/Logging_1285/klagomål/A 24809-2025 FSC-klagomål.docx", "A 24809-2025")</f>
        <v/>
      </c>
      <c r="Z10">
        <f>HYPERLINK("https://klasma.github.io/Logging_1285/klagomålsmail/A 24809-2025 FSC-klagomål mail.docx", "A 24809-2025")</f>
        <v/>
      </c>
      <c r="AA10">
        <f>HYPERLINK("https://klasma.github.io/Logging_1285/tillsyn/A 24809-2025 tillsynsbegäran.docx", "A 24809-2025")</f>
        <v/>
      </c>
      <c r="AB10">
        <f>HYPERLINK("https://klasma.github.io/Logging_1285/tillsynsmail/A 24809-2025 tillsynsbegäran mail.docx", "A 24809-2025")</f>
        <v/>
      </c>
      <c r="AC10">
        <f>HYPERLINK("https://klasma.github.io/Logging_1285/fåglar/A 24809-2025 prioriterade fågelarter.docx", "A 24809-2025")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46220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Slåttergubbe</t>
        </is>
      </c>
      <c r="V11">
        <f>HYPERLINK("https://klasma.github.io/Logging_1285/artfynd/A 27443-2026 artfynd.xlsx", "A 27443-2026")</f>
        <v/>
      </c>
      <c r="W11">
        <f>HYPERLINK("https://klasma.github.io/Logging_1285/kartor/A 27443-2026 karta.png", "A 27443-2026")</f>
        <v/>
      </c>
      <c r="Y11">
        <f>HYPERLINK("https://klasma.github.io/Logging_1285/klagomål/A 27443-2026 FSC-klagomål.docx", "A 27443-2026")</f>
        <v/>
      </c>
      <c r="Z11">
        <f>HYPERLINK("https://klasma.github.io/Logging_1285/klagomålsmail/A 27443-2026 FSC-klagomål mail.docx", "A 27443-2026")</f>
        <v/>
      </c>
      <c r="AA11">
        <f>HYPERLINK("https://klasma.github.io/Logging_1285/tillsyn/A 27443-2026 tillsynsbegäran.docx", "A 27443-2026")</f>
        <v/>
      </c>
      <c r="AB11">
        <f>HYPERLINK("https://klasma.github.io/Logging_1285/tillsynsmail/A 27443-2026 tillsynsbegäran mail.docx", "A 27443-2026")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46220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s="2" t="inlineStr">
        <is>
          <t>Gullpudra</t>
        </is>
      </c>
      <c r="V12">
        <f>HYPERLINK("https://klasma.github.io/Logging_1285/artfynd/A 61035-2024 artfynd.xlsx", "A 61035-2024")</f>
        <v/>
      </c>
      <c r="W12">
        <f>HYPERLINK("https://klasma.github.io/Logging_1285/kartor/A 61035-2024 karta.png", "A 61035-2024")</f>
        <v/>
      </c>
      <c r="Y12">
        <f>HYPERLINK("https://klasma.github.io/Logging_1285/klagomål/A 61035-2024 FSC-klagomål.docx", "A 61035-2024")</f>
        <v/>
      </c>
      <c r="Z12">
        <f>HYPERLINK("https://klasma.github.io/Logging_1285/klagomålsmail/A 61035-2024 FSC-klagomål mail.docx", "A 61035-2024")</f>
        <v/>
      </c>
      <c r="AA12">
        <f>HYPERLINK("https://klasma.github.io/Logging_1285/tillsyn/A 61035-2024 tillsynsbegäran.docx", "A 61035-2024")</f>
        <v/>
      </c>
      <c r="AB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46220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Svart stork</t>
        </is>
      </c>
      <c r="V13">
        <f>HYPERLINK("https://klasma.github.io/Logging_1285/artfynd/A 1510-2024 artfynd.xlsx", "A 1510-2024")</f>
        <v/>
      </c>
      <c r="W13">
        <f>HYPERLINK("https://klasma.github.io/Logging_1285/kartor/A 1510-2024 karta.png", "A 1510-2024")</f>
        <v/>
      </c>
      <c r="Y13">
        <f>HYPERLINK("https://klasma.github.io/Logging_1285/klagomål/A 1510-2024 FSC-klagomål.docx", "A 1510-2024")</f>
        <v/>
      </c>
      <c r="Z13">
        <f>HYPERLINK("https://klasma.github.io/Logging_1285/klagomålsmail/A 1510-2024 FSC-klagomål mail.docx", "A 1510-2024")</f>
        <v/>
      </c>
      <c r="AA13">
        <f>HYPERLINK("https://klasma.github.io/Logging_1285/tillsyn/A 1510-2024 tillsynsbegäran.docx", "A 1510-2024")</f>
        <v/>
      </c>
      <c r="AB13">
        <f>HYPERLINK("https://klasma.github.io/Logging_1285/tillsynsmail/A 1510-2024 tillsynsbegäran mail.docx", "A 1510-2024")</f>
        <v/>
      </c>
      <c r="AC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46220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Grönfläckig padda</t>
        </is>
      </c>
      <c r="V14">
        <f>HYPERLINK("https://klasma.github.io/Logging_1285/artfynd/A 52652-2023 artfynd.xlsx", "A 52652-2023")</f>
        <v/>
      </c>
      <c r="W14">
        <f>HYPERLINK("https://klasma.github.io/Logging_1285/kartor/A 52652-2023 karta.png", "A 52652-2023")</f>
        <v/>
      </c>
      <c r="Y14">
        <f>HYPERLINK("https://klasma.github.io/Logging_1285/klagomål/A 52652-2023 FSC-klagomål.docx", "A 52652-2023")</f>
        <v/>
      </c>
      <c r="Z14">
        <f>HYPERLINK("https://klasma.github.io/Logging_1285/klagomålsmail/A 52652-2023 FSC-klagomål mail.docx", "A 52652-2023")</f>
        <v/>
      </c>
      <c r="AA14">
        <f>HYPERLINK("https://klasma.github.io/Logging_1285/tillsyn/A 52652-2023 tillsynsbegäran.docx", "A 52652-2023")</f>
        <v/>
      </c>
      <c r="AB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46220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Gråtrut</t>
        </is>
      </c>
      <c r="V15">
        <f>HYPERLINK("https://klasma.github.io/Logging_1285/artfynd/A 18713-2024 artfynd.xlsx", "A 18713-2024")</f>
        <v/>
      </c>
      <c r="W15">
        <f>HYPERLINK("https://klasma.github.io/Logging_1285/kartor/A 18713-2024 karta.png", "A 18713-2024")</f>
        <v/>
      </c>
      <c r="Y15">
        <f>HYPERLINK("https://klasma.github.io/Logging_1285/klagomål/A 18713-2024 FSC-klagomål.docx", "A 18713-2024")</f>
        <v/>
      </c>
      <c r="Z15">
        <f>HYPERLINK("https://klasma.github.io/Logging_1285/klagomålsmail/A 18713-2024 FSC-klagomål mail.docx", "A 18713-2024")</f>
        <v/>
      </c>
      <c r="AA15">
        <f>HYPERLINK("https://klasma.github.io/Logging_1285/tillsyn/A 18713-2024 tillsynsbegäran.docx", "A 18713-2024")</f>
        <v/>
      </c>
      <c r="AB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46220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46220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46220</v>
      </c>
      <c r="F18" t="inlineStr">
        <is>
          <t>SKÅNE LÄN</t>
        </is>
      </c>
      <c r="G18" t="inlineStr">
        <is>
          <t>ESLÖV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46220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46220</v>
      </c>
      <c r="F20" t="inlineStr">
        <is>
          <t>SKÅNE LÄN</t>
        </is>
      </c>
      <c r="G20" t="inlineStr">
        <is>
          <t>ESLÖV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16733-2023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45030</v>
      </c>
      <c r="E21" s="1" t="n">
        <v>46220</v>
      </c>
      <c r="F21" t="inlineStr">
        <is>
          <t>SKÅNE LÄN</t>
        </is>
      </c>
      <c r="G21" t="inlineStr">
        <is>
          <t>ESLÖV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5812-2022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46220</v>
      </c>
      <c r="F22" t="inlineStr">
        <is>
          <t>SKÅNE LÄN</t>
        </is>
      </c>
      <c r="G22" t="inlineStr">
        <is>
          <t>ESLÖV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46220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15467-2025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45747</v>
      </c>
      <c r="E24" s="1" t="n">
        <v>46220</v>
      </c>
      <c r="F24" t="inlineStr">
        <is>
          <t>SKÅNE LÄN</t>
        </is>
      </c>
      <c r="G24" t="inlineStr">
        <is>
          <t>ESLÖV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5869-2023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44958</v>
      </c>
      <c r="E25" s="1" t="n">
        <v>46220</v>
      </c>
      <c r="F25" t="inlineStr">
        <is>
          <t>SKÅNE LÄN</t>
        </is>
      </c>
      <c r="G25" t="inlineStr">
        <is>
          <t>ESLÖV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35996-2025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46220</v>
      </c>
      <c r="F26" t="inlineStr">
        <is>
          <t>SKÅNE LÄN</t>
        </is>
      </c>
      <c r="G26" t="inlineStr">
        <is>
          <t>ESLÖV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35997-2025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46220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46220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9686-2023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46220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58721-2025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45986</v>
      </c>
      <c r="E30" s="1" t="n">
        <v>46220</v>
      </c>
      <c r="F30" t="inlineStr">
        <is>
          <t>SKÅNE LÄN</t>
        </is>
      </c>
      <c r="G30" t="inlineStr">
        <is>
          <t>ESLÖV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46220</v>
      </c>
      <c r="F31" t="inlineStr">
        <is>
          <t>SKÅNE LÄN</t>
        </is>
      </c>
      <c r="G31" t="inlineStr">
        <is>
          <t>ESLÖV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24115-2022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46220</v>
      </c>
      <c r="F32" t="inlineStr">
        <is>
          <t>SKÅNE LÄN</t>
        </is>
      </c>
      <c r="G32" t="inlineStr">
        <is>
          <t>ESLÖV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9849-2026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46072</v>
      </c>
      <c r="E33" s="1" t="n">
        <v>46220</v>
      </c>
      <c r="F33" t="inlineStr">
        <is>
          <t>SKÅNE LÄN</t>
        </is>
      </c>
      <c r="G33" t="inlineStr">
        <is>
          <t>ESLÖV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10111-2026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46074</v>
      </c>
      <c r="E34" s="1" t="n">
        <v>46220</v>
      </c>
      <c r="F34" t="inlineStr">
        <is>
          <t>SKÅNE LÄN</t>
        </is>
      </c>
      <c r="G34" t="inlineStr">
        <is>
          <t>ESLÖV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46220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12079-2024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45377</v>
      </c>
      <c r="E36" s="1" t="n">
        <v>46220</v>
      </c>
      <c r="F36" t="inlineStr">
        <is>
          <t>SKÅNE LÄN</t>
        </is>
      </c>
      <c r="G36" t="inlineStr">
        <is>
          <t>ESLÖV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14013-2026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46220</v>
      </c>
      <c r="F37" t="inlineStr">
        <is>
          <t>SKÅNE LÄN</t>
        </is>
      </c>
      <c r="G37" t="inlineStr">
        <is>
          <t>ESLÖV</t>
        </is>
      </c>
      <c r="H37" t="inlineStr">
        <is>
          <t>Sveaskog</t>
        </is>
      </c>
      <c r="I37" t="n">
        <v>8.800000000000001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11204-2023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44992</v>
      </c>
      <c r="E38" s="1" t="n">
        <v>46220</v>
      </c>
      <c r="F38" t="inlineStr">
        <is>
          <t>SKÅNE LÄN</t>
        </is>
      </c>
      <c r="G38" t="inlineStr">
        <is>
          <t>ESLÖV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14386-2026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46220</v>
      </c>
      <c r="F39" t="inlineStr">
        <is>
          <t>SKÅNE LÄN</t>
        </is>
      </c>
      <c r="G39" t="inlineStr">
        <is>
          <t>ESLÖV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46220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15533-2024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46220</v>
      </c>
      <c r="F41" t="inlineStr">
        <is>
          <t>SKÅNE LÄN</t>
        </is>
      </c>
      <c r="G41" t="inlineStr">
        <is>
          <t>ESLÖV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18281-2026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46125</v>
      </c>
      <c r="E42" s="1" t="n">
        <v>46220</v>
      </c>
      <c r="F42" t="inlineStr">
        <is>
          <t>SKÅNE LÄN</t>
        </is>
      </c>
      <c r="G42" t="inlineStr">
        <is>
          <t>ESLÖV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62496-2023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45268</v>
      </c>
      <c r="E43" s="1" t="n">
        <v>46220</v>
      </c>
      <c r="F43" t="inlineStr">
        <is>
          <t>SKÅNE LÄN</t>
        </is>
      </c>
      <c r="G43" t="inlineStr">
        <is>
          <t>ESLÖV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25385-2023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46220</v>
      </c>
      <c r="F44" t="inlineStr">
        <is>
          <t>SKÅNE LÄN</t>
        </is>
      </c>
      <c r="G44" t="inlineStr">
        <is>
          <t>ESLÖV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34170-2023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45138</v>
      </c>
      <c r="E45" s="1" t="n">
        <v>46220</v>
      </c>
      <c r="F45" t="inlineStr">
        <is>
          <t>SKÅNE LÄN</t>
        </is>
      </c>
      <c r="G45" t="inlineStr">
        <is>
          <t>ESLÖV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15357-2023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46220</v>
      </c>
      <c r="F46" t="inlineStr">
        <is>
          <t>SKÅNE LÄN</t>
        </is>
      </c>
      <c r="G46" t="inlineStr">
        <is>
          <t>ESLÖV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36761-2022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46220</v>
      </c>
      <c r="F47" t="inlineStr">
        <is>
          <t>SKÅNE LÄN</t>
        </is>
      </c>
      <c r="G47" t="inlineStr">
        <is>
          <t>ESLÖV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25730-2026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46220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46220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46220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46220</v>
      </c>
      <c r="F51" t="inlineStr">
        <is>
          <t>SKÅNE LÄN</t>
        </is>
      </c>
      <c r="G51" t="inlineStr">
        <is>
          <t>ESLÖV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26165-2026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46220</v>
      </c>
      <c r="F52" t="inlineStr">
        <is>
          <t>SKÅNE LÄN</t>
        </is>
      </c>
      <c r="G52" t="inlineStr">
        <is>
          <t>ESLÖV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46220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27435-2026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46220</v>
      </c>
      <c r="F54" t="inlineStr">
        <is>
          <t>SKÅNE LÄN</t>
        </is>
      </c>
      <c r="G54" t="inlineStr">
        <is>
          <t>ESLÖV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27439-2026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46220</v>
      </c>
      <c r="F55" t="inlineStr">
        <is>
          <t>SKÅNE LÄN</t>
        </is>
      </c>
      <c r="G55" t="inlineStr">
        <is>
          <t>ESLÖV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22134-2026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46220</v>
      </c>
      <c r="F56" t="inlineStr">
        <is>
          <t>SKÅNE LÄN</t>
        </is>
      </c>
      <c r="G56" t="inlineStr">
        <is>
          <t>ESLÖV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10940-2024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46220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46220</v>
      </c>
      <c r="F58" t="inlineStr">
        <is>
          <t>SKÅNE LÄN</t>
        </is>
      </c>
      <c r="G58" t="inlineStr">
        <is>
          <t>ESLÖV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43808-2024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45571</v>
      </c>
      <c r="E59" s="1" t="n">
        <v>46220</v>
      </c>
      <c r="F59" t="inlineStr">
        <is>
          <t>SKÅNE LÄN</t>
        </is>
      </c>
      <c r="G59" t="inlineStr">
        <is>
          <t>ESLÖV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18503-2026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46220</v>
      </c>
      <c r="F60" t="inlineStr">
        <is>
          <t>SKÅNE LÄN</t>
        </is>
      </c>
      <c r="G60" t="inlineStr">
        <is>
          <t>ESLÖV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46220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46220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46220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46220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46220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10819-2026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46078</v>
      </c>
      <c r="E66" s="1" t="n">
        <v>46220</v>
      </c>
      <c r="F66" t="inlineStr">
        <is>
          <t>SKÅNE LÄN</t>
        </is>
      </c>
      <c r="G66" t="inlineStr">
        <is>
          <t>ESLÖV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46220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45306</v>
      </c>
      <c r="E68" s="1" t="n">
        <v>46220</v>
      </c>
      <c r="F68" t="inlineStr">
        <is>
          <t>SKÅNE LÄN</t>
        </is>
      </c>
      <c r="G68" t="inlineStr">
        <is>
          <t>ESLÖV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25508-2023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46220</v>
      </c>
      <c r="F69" t="inlineStr">
        <is>
          <t>SKÅNE LÄN</t>
        </is>
      </c>
      <c r="G69" t="inlineStr">
        <is>
          <t>ESLÖV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46220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46220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2026-07-17T01:45:46Z</dcterms:created>
  <dcterms:modified xmlns:dcterms="http://purl.org/dc/terms/" xmlns:xsi="http://www.w3.org/2001/XMLSchema-instance" xsi:type="dcterms:W3CDTF">2026-07-17T01:45:46Z</dcterms:modified>
</cp:coreProperties>
</file>