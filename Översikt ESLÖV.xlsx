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46288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46288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46288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46288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46288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46288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46288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46288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46288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46288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Gullpudra</t>
        </is>
      </c>
      <c r="W11">
        <f>HYPERLINK("https://klasma.github.io/Logging_1285/artfynd/A 61035-2024 artfynd.xlsx", "A 61035-2024")</f>
        <v/>
      </c>
      <c r="X11">
        <f>HYPERLINK("https://klasma.github.io/Logging_1285/kartor/A 61035-2024 karta.png", "A 61035-2024")</f>
        <v/>
      </c>
      <c r="Y11">
        <f>HYPERLINK("https://klasma.github.io/Logging_1285/kartor_geotiff/A 61035-2024 georefererad karta.tif", "A 61035-2024")</f>
        <v/>
      </c>
      <c r="AA11">
        <f>HYPERLINK("https://klasma.github.io/Logging_1285/klagomål/A 61035-2024 FSC-klagomål.docx", "A 61035-2024")</f>
        <v/>
      </c>
      <c r="AB11">
        <f>HYPERLINK("https://klasma.github.io/Logging_1285/klagomålsmail/A 61035-2024 FSC-klagomål mail.docx", "A 61035-2024")</f>
        <v/>
      </c>
      <c r="AC11">
        <f>HYPERLINK("https://klasma.github.io/Logging_1285/tillsyn/A 61035-2024 tillsynsbegäran.docx", "A 61035-2024")</f>
        <v/>
      </c>
      <c r="AD11">
        <f>HYPERLINK("https://klasma.github.io/Logging_1285/tillsynsmail/A 61035-2024 tillsynsbegäran mail.docx", "A 61035-2024")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46288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46288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46288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46288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46288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46288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46288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45030</v>
      </c>
      <c r="E19" s="1" t="n">
        <v>46288</v>
      </c>
      <c r="F19" t="inlineStr">
        <is>
          <t>SKÅNE LÄN</t>
        </is>
      </c>
      <c r="G19" t="inlineStr">
        <is>
          <t>ESLÖV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46288</v>
      </c>
      <c r="F20" t="inlineStr">
        <is>
          <t>SKÅNE LÄN</t>
        </is>
      </c>
      <c r="G20" t="inlineStr">
        <is>
          <t>ESLÖV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46288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5869-2023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44958</v>
      </c>
      <c r="E22" s="1" t="n">
        <v>46288</v>
      </c>
      <c r="F22" t="inlineStr">
        <is>
          <t>SKÅNE LÄN</t>
        </is>
      </c>
      <c r="G22" t="inlineStr">
        <is>
          <t>ESLÖV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45705</v>
      </c>
      <c r="E23" s="1" t="n">
        <v>46288</v>
      </c>
      <c r="F23" t="inlineStr">
        <is>
          <t>SKÅNE LÄN</t>
        </is>
      </c>
      <c r="G23" t="inlineStr">
        <is>
          <t>ESLÖV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44984</v>
      </c>
      <c r="E24" s="1" t="n">
        <v>46288</v>
      </c>
      <c r="F24" t="inlineStr">
        <is>
          <t>SKÅNE LÄN</t>
        </is>
      </c>
      <c r="G24" t="inlineStr">
        <is>
          <t>ESLÖV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7016-2025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46288</v>
      </c>
      <c r="F25" t="inlineStr">
        <is>
          <t>SKÅNE LÄN</t>
        </is>
      </c>
      <c r="G25" t="inlineStr">
        <is>
          <t>ESLÖV</t>
        </is>
      </c>
      <c r="H25" t="inlineStr">
        <is>
          <t>Sveaskog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47356-2025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46288</v>
      </c>
      <c r="F26" t="inlineStr">
        <is>
          <t>SKÅNE LÄN</t>
        </is>
      </c>
      <c r="G26" t="inlineStr">
        <is>
          <t>ESLÖV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24115-2022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44725</v>
      </c>
      <c r="E27" s="1" t="n">
        <v>46288</v>
      </c>
      <c r="F27" t="inlineStr">
        <is>
          <t>SKÅNE LÄN</t>
        </is>
      </c>
      <c r="G27" t="inlineStr">
        <is>
          <t>ESLÖV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22134-2026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46153</v>
      </c>
      <c r="E28" s="1" t="n">
        <v>46288</v>
      </c>
      <c r="F28" t="inlineStr">
        <is>
          <t>SKÅNE LÄN</t>
        </is>
      </c>
      <c r="G28" t="inlineStr">
        <is>
          <t>ESLÖV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45863</v>
      </c>
      <c r="E29" s="1" t="n">
        <v>46288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46288</v>
      </c>
      <c r="F30" t="inlineStr">
        <is>
          <t>SKÅNE LÄN</t>
        </is>
      </c>
      <c r="G30" t="inlineStr">
        <is>
          <t>ESLÖV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18503-2026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46127</v>
      </c>
      <c r="E31" s="1" t="n">
        <v>46288</v>
      </c>
      <c r="F31" t="inlineStr">
        <is>
          <t>SKÅNE LÄN</t>
        </is>
      </c>
      <c r="G31" t="inlineStr">
        <is>
          <t>ESLÖV</t>
        </is>
      </c>
      <c r="I31" t="n">
        <v>4.9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25388-2023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45089</v>
      </c>
      <c r="E32" s="1" t="n">
        <v>46288</v>
      </c>
      <c r="F32" t="inlineStr">
        <is>
          <t>SKÅNE LÄN</t>
        </is>
      </c>
      <c r="G32" t="inlineStr">
        <is>
          <t>ESLÖV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10819-2026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46288</v>
      </c>
      <c r="F33" t="inlineStr">
        <is>
          <t>SKÅNE LÄN</t>
        </is>
      </c>
      <c r="G33" t="inlineStr">
        <is>
          <t>ESLÖV</t>
        </is>
      </c>
      <c r="I33" t="n">
        <v>4.9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12079-2024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45377</v>
      </c>
      <c r="E34" s="1" t="n">
        <v>46288</v>
      </c>
      <c r="F34" t="inlineStr">
        <is>
          <t>SKÅNE LÄN</t>
        </is>
      </c>
      <c r="G34" t="inlineStr">
        <is>
          <t>ESLÖV</t>
        </is>
      </c>
      <c r="I34" t="n">
        <v>6.9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45306</v>
      </c>
      <c r="E35" s="1" t="n">
        <v>46288</v>
      </c>
      <c r="F35" t="inlineStr">
        <is>
          <t>SKÅNE LÄN</t>
        </is>
      </c>
      <c r="G35" t="inlineStr">
        <is>
          <t>ESLÖV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44992</v>
      </c>
      <c r="E36" s="1" t="n">
        <v>46288</v>
      </c>
      <c r="F36" t="inlineStr">
        <is>
          <t>SKÅNE LÄN</t>
        </is>
      </c>
      <c r="G36" t="inlineStr">
        <is>
          <t>ESLÖV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25730-2026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46178</v>
      </c>
      <c r="E37" s="1" t="n">
        <v>46288</v>
      </c>
      <c r="F37" t="inlineStr">
        <is>
          <t>SKÅNE LÄN</t>
        </is>
      </c>
      <c r="G37" t="inlineStr">
        <is>
          <t>ESLÖV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26165-2026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46288</v>
      </c>
      <c r="F38" t="inlineStr">
        <is>
          <t>SKÅNE LÄN</t>
        </is>
      </c>
      <c r="G38" t="inlineStr">
        <is>
          <t>ESLÖV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45932</v>
      </c>
      <c r="E39" s="1" t="n">
        <v>46288</v>
      </c>
      <c r="F39" t="inlineStr">
        <is>
          <t>SKÅNE LÄN</t>
        </is>
      </c>
      <c r="G39" t="inlineStr">
        <is>
          <t>ESLÖV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9482-2023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44981</v>
      </c>
      <c r="E40" s="1" t="n">
        <v>46288</v>
      </c>
      <c r="F40" t="inlineStr">
        <is>
          <t>SKÅNE LÄN</t>
        </is>
      </c>
      <c r="G40" t="inlineStr">
        <is>
          <t>ESLÖV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46288</v>
      </c>
      <c r="F41" t="inlineStr">
        <is>
          <t>SKÅNE LÄN</t>
        </is>
      </c>
      <c r="G41" t="inlineStr">
        <is>
          <t>ESLÖV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15533-2024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46288</v>
      </c>
      <c r="F42" t="inlineStr">
        <is>
          <t>SKÅNE LÄN</t>
        </is>
      </c>
      <c r="G42" t="inlineStr">
        <is>
          <t>ESLÖV</t>
        </is>
      </c>
      <c r="I42" t="n">
        <v>7.5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26497-2026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46183</v>
      </c>
      <c r="E43" s="1" t="n">
        <v>46288</v>
      </c>
      <c r="F43" t="inlineStr">
        <is>
          <t>SKÅNE LÄN</t>
        </is>
      </c>
      <c r="G43" t="inlineStr">
        <is>
          <t>ESLÖV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62496-2023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45268</v>
      </c>
      <c r="E44" s="1" t="n">
        <v>46288</v>
      </c>
      <c r="F44" t="inlineStr">
        <is>
          <t>SKÅNE LÄN</t>
        </is>
      </c>
      <c r="G44" t="inlineStr">
        <is>
          <t>ESLÖV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27439-2026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46189</v>
      </c>
      <c r="E45" s="1" t="n">
        <v>46288</v>
      </c>
      <c r="F45" t="inlineStr">
        <is>
          <t>SKÅNE LÄN</t>
        </is>
      </c>
      <c r="G45" t="inlineStr">
        <is>
          <t>ESLÖV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27428-2026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46189</v>
      </c>
      <c r="E46" s="1" t="n">
        <v>46288</v>
      </c>
      <c r="F46" t="inlineStr">
        <is>
          <t>SKÅNE LÄN</t>
        </is>
      </c>
      <c r="G46" t="inlineStr">
        <is>
          <t>ESLÖV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27435-2026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46189</v>
      </c>
      <c r="E47" s="1" t="n">
        <v>46288</v>
      </c>
      <c r="F47" t="inlineStr">
        <is>
          <t>SKÅNE LÄN</t>
        </is>
      </c>
      <c r="G47" t="inlineStr">
        <is>
          <t>ESLÖV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25385-2023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45089</v>
      </c>
      <c r="E48" s="1" t="n">
        <v>46288</v>
      </c>
      <c r="F48" t="inlineStr">
        <is>
          <t>SKÅNE LÄN</t>
        </is>
      </c>
      <c r="G48" t="inlineStr">
        <is>
          <t>ESLÖV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34170-2023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45138</v>
      </c>
      <c r="E49" s="1" t="n">
        <v>46288</v>
      </c>
      <c r="F49" t="inlineStr">
        <is>
          <t>SKÅNE LÄN</t>
        </is>
      </c>
      <c r="G49" t="inlineStr">
        <is>
          <t>ESLÖV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9849-2026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46072</v>
      </c>
      <c r="E50" s="1" t="n">
        <v>46288</v>
      </c>
      <c r="F50" t="inlineStr">
        <is>
          <t>SKÅNE LÄN</t>
        </is>
      </c>
      <c r="G50" t="inlineStr">
        <is>
          <t>ESLÖV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15357-2023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45019</v>
      </c>
      <c r="E51" s="1" t="n">
        <v>46288</v>
      </c>
      <c r="F51" t="inlineStr">
        <is>
          <t>SKÅNE LÄN</t>
        </is>
      </c>
      <c r="G51" t="inlineStr">
        <is>
          <t>ESLÖV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46288</v>
      </c>
      <c r="F52" t="inlineStr">
        <is>
          <t>SKÅNE LÄN</t>
        </is>
      </c>
      <c r="G52" t="inlineStr">
        <is>
          <t>ESLÖV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14386-2026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46288</v>
      </c>
      <c r="F53" t="inlineStr">
        <is>
          <t>SKÅNE LÄN</t>
        </is>
      </c>
      <c r="G53" t="inlineStr">
        <is>
          <t>ESLÖV</t>
        </is>
      </c>
      <c r="I53" t="n">
        <v>12.4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34468-2023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45139</v>
      </c>
      <c r="E54" s="1" t="n">
        <v>46288</v>
      </c>
      <c r="F54" t="inlineStr">
        <is>
          <t>SKÅNE LÄN</t>
        </is>
      </c>
      <c r="G54" t="inlineStr">
        <is>
          <t>ESLÖV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18281-2026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46125</v>
      </c>
      <c r="E55" s="1" t="n">
        <v>46288</v>
      </c>
      <c r="F55" t="inlineStr">
        <is>
          <t>SKÅNE LÄN</t>
        </is>
      </c>
      <c r="G55" t="inlineStr">
        <is>
          <t>ESLÖV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10940-2024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45370</v>
      </c>
      <c r="E56" s="1" t="n">
        <v>46288</v>
      </c>
      <c r="F56" t="inlineStr">
        <is>
          <t>SKÅNE LÄN</t>
        </is>
      </c>
      <c r="G56" t="inlineStr">
        <is>
          <t>ESLÖV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46288</v>
      </c>
      <c r="F57" t="inlineStr">
        <is>
          <t>SKÅNE LÄN</t>
        </is>
      </c>
      <c r="G57" t="inlineStr">
        <is>
          <t>ESLÖV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43808-2024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45571</v>
      </c>
      <c r="E58" s="1" t="n">
        <v>46288</v>
      </c>
      <c r="F58" t="inlineStr">
        <is>
          <t>SKÅNE LÄN</t>
        </is>
      </c>
      <c r="G58" t="inlineStr">
        <is>
          <t>ESLÖV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46288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46288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46288</v>
      </c>
      <c r="F61" t="inlineStr">
        <is>
          <t>SKÅNE LÄN</t>
        </is>
      </c>
      <c r="G61" t="inlineStr">
        <is>
          <t>ESLÖV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16670-2025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46288</v>
      </c>
      <c r="F62" t="inlineStr">
        <is>
          <t>SKÅNE LÄN</t>
        </is>
      </c>
      <c r="G62" t="inlineStr">
        <is>
          <t>ESLÖV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46288</v>
      </c>
      <c r="F63" t="inlineStr">
        <is>
          <t>SKÅNE LÄN</t>
        </is>
      </c>
      <c r="G63" t="inlineStr">
        <is>
          <t>ESLÖV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38173-2023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45161</v>
      </c>
      <c r="E64" s="1" t="n">
        <v>46288</v>
      </c>
      <c r="F64" t="inlineStr">
        <is>
          <t>SKÅNE LÄN</t>
        </is>
      </c>
      <c r="G64" t="inlineStr">
        <is>
          <t>ESLÖV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58721-2025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45986</v>
      </c>
      <c r="E65" s="1" t="n">
        <v>46288</v>
      </c>
      <c r="F65" t="inlineStr">
        <is>
          <t>SKÅNE LÄN</t>
        </is>
      </c>
      <c r="G65" t="inlineStr">
        <is>
          <t>ESLÖV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45089</v>
      </c>
      <c r="E66" s="1" t="n">
        <v>46288</v>
      </c>
      <c r="F66" t="inlineStr">
        <is>
          <t>SKÅNE LÄN</t>
        </is>
      </c>
      <c r="G66" t="inlineStr">
        <is>
          <t>ESLÖV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46288</v>
      </c>
      <c r="F67" t="inlineStr">
        <is>
          <t>SKÅNE LÄN</t>
        </is>
      </c>
      <c r="G67" t="inlineStr">
        <is>
          <t>ESLÖV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46288</v>
      </c>
      <c r="F68" t="inlineStr">
        <is>
          <t>SKÅNE LÄN</t>
        </is>
      </c>
      <c r="G68" t="inlineStr">
        <is>
          <t>ESLÖV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16792-2024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45411</v>
      </c>
      <c r="E69" s="1" t="n">
        <v>46288</v>
      </c>
      <c r="F69" t="inlineStr">
        <is>
          <t>SKÅNE LÄN</t>
        </is>
      </c>
      <c r="G69" t="inlineStr">
        <is>
          <t>ESLÖV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28088-2025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46288</v>
      </c>
      <c r="F70" t="inlineStr">
        <is>
          <t>SKÅNE LÄN</t>
        </is>
      </c>
      <c r="G70" t="inlineStr">
        <is>
          <t>ESLÖV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2026-09-23T01:54:15Z</dcterms:created>
  <dcterms:modified xmlns:dcterms="http://purl.org/dc/terms/" xmlns:xsi="http://www.w3.org/2001/XMLSchema-instance" xsi:type="dcterms:W3CDTF">2026-09-23T01:54:15Z</dcterms:modified>
</cp:coreProperties>
</file>