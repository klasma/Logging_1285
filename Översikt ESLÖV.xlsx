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46221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Y7">
        <f>HYPERLINK("https://klasma.github.io/Logging_1285/klagomål/A 14395-2026 FSC-klagomål.docx", "A 14395-2026")</f>
        <v/>
      </c>
      <c r="Z7">
        <f>HYPERLINK("https://klasma.github.io/Logging_1285/klagomålsmail/A 14395-2026 FSC-klagomål mail.docx", "A 14395-2026")</f>
        <v/>
      </c>
      <c r="AA7">
        <f>HYPERLINK("https://klasma.github.io/Logging_1285/tillsyn/A 14395-2026 tillsynsbegäran.docx", "A 14395-2026")</f>
        <v/>
      </c>
      <c r="AB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46221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Y8">
        <f>HYPERLINK("https://klasma.github.io/Logging_1285/klagomål/A 9487-2023 FSC-klagomål.docx", "A 9487-2023")</f>
        <v/>
      </c>
      <c r="Z8">
        <f>HYPERLINK("https://klasma.github.io/Logging_1285/klagomålsmail/A 9487-2023 FSC-klagomål mail.docx", "A 9487-2023")</f>
        <v/>
      </c>
      <c r="AA8">
        <f>HYPERLINK("https://klasma.github.io/Logging_1285/tillsyn/A 9487-2023 tillsynsbegäran.docx", "A 9487-2023")</f>
        <v/>
      </c>
      <c r="AB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Y9">
        <f>HYPERLINK("https://klasma.github.io/Logging_1285/klagomål/A 23773-2025 FSC-klagomål.docx", "A 23773-2025")</f>
        <v/>
      </c>
      <c r="Z9">
        <f>HYPERLINK("https://klasma.github.io/Logging_1285/klagomålsmail/A 23773-2025 FSC-klagomål mail.docx", "A 23773-2025")</f>
        <v/>
      </c>
      <c r="AA9">
        <f>HYPERLINK("https://klasma.github.io/Logging_1285/tillsyn/A 23773-2025 tillsynsbegäran.docx", "A 23773-2025")</f>
        <v/>
      </c>
      <c r="AB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46221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HYPERLINK("https://klasma.github.io/Logging_1285/artfynd/A 27443-2026 artfynd.xlsx", "A 27443-2026")</f>
        <v/>
      </c>
      <c r="W10">
        <f>HYPERLINK("https://klasma.github.io/Logging_1285/kartor/A 27443-2026 karta.png", "A 27443-2026")</f>
        <v/>
      </c>
      <c r="Y10">
        <f>HYPERLINK("https://klasma.github.io/Logging_1285/klagomål/A 27443-2026 FSC-klagomål.docx", "A 27443-2026")</f>
        <v/>
      </c>
      <c r="Z10">
        <f>HYPERLINK("https://klasma.github.io/Logging_1285/klagomålsmail/A 27443-2026 FSC-klagomål mail.docx", "A 27443-2026")</f>
        <v/>
      </c>
      <c r="AA10">
        <f>HYPERLINK("https://klasma.github.io/Logging_1285/tillsyn/A 27443-2026 tillsynsbegäran.docx", "A 27443-2026")</f>
        <v/>
      </c>
      <c r="AB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46221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s="2" t="inlineStr">
        <is>
          <t>Gullpudra</t>
        </is>
      </c>
      <c r="V11">
        <f>HYPERLINK("https://klasma.github.io/Logging_1285/artfynd/A 61035-2024 artfynd.xlsx", "A 61035-2024")</f>
        <v/>
      </c>
      <c r="W11">
        <f>HYPERLINK("https://klasma.github.io/Logging_1285/kartor/A 61035-2024 karta.png", "A 61035-2024")</f>
        <v/>
      </c>
      <c r="Y11">
        <f>HYPERLINK("https://klasma.github.io/Logging_1285/klagomål/A 61035-2024 FSC-klagomål.docx", "A 61035-2024")</f>
        <v/>
      </c>
      <c r="Z11">
        <f>HYPERLINK("https://klasma.github.io/Logging_1285/klagomålsmail/A 61035-2024 FSC-klagomål mail.docx", "A 61035-2024")</f>
        <v/>
      </c>
      <c r="AA11">
        <f>HYPERLINK("https://klasma.github.io/Logging_1285/tillsyn/A 61035-2024 tillsynsbegäran.docx", "A 61035-2024")</f>
        <v/>
      </c>
      <c r="AB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46221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Svart stork</t>
        </is>
      </c>
      <c r="V12">
        <f>HYPERLINK("https://klasma.github.io/Logging_1285/artfynd/A 1510-2024 artfynd.xlsx", "A 1510-2024")</f>
        <v/>
      </c>
      <c r="W12">
        <f>HYPERLINK("https://klasma.github.io/Logging_1285/kartor/A 1510-2024 karta.png", "A 1510-2024")</f>
        <v/>
      </c>
      <c r="Y12">
        <f>HYPERLINK("https://klasma.github.io/Logging_1285/klagomål/A 1510-2024 FSC-klagomål.docx", "A 1510-2024")</f>
        <v/>
      </c>
      <c r="Z12">
        <f>HYPERLINK("https://klasma.github.io/Logging_1285/klagomålsmail/A 1510-2024 FSC-klagomål mail.docx", "A 1510-2024")</f>
        <v/>
      </c>
      <c r="AA12">
        <f>HYPERLINK("https://klasma.github.io/Logging_1285/tillsyn/A 1510-2024 tillsynsbegäran.docx", "A 1510-2024")</f>
        <v/>
      </c>
      <c r="AB12">
        <f>HYPERLINK("https://klasma.github.io/Logging_1285/tillsynsmail/A 1510-2024 tillsynsbegäran mail.docx", "A 1510-2024")</f>
        <v/>
      </c>
      <c r="AC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46221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Grönfläckig padda</t>
        </is>
      </c>
      <c r="V13">
        <f>HYPERLINK("https://klasma.github.io/Logging_1285/artfynd/A 52652-2023 artfynd.xlsx", "A 52652-2023")</f>
        <v/>
      </c>
      <c r="W13">
        <f>HYPERLINK("https://klasma.github.io/Logging_1285/kartor/A 52652-2023 karta.png", "A 52652-2023")</f>
        <v/>
      </c>
      <c r="Y13">
        <f>HYPERLINK("https://klasma.github.io/Logging_1285/klagomål/A 52652-2023 FSC-klagomål.docx", "A 52652-2023")</f>
        <v/>
      </c>
      <c r="Z13">
        <f>HYPERLINK("https://klasma.github.io/Logging_1285/klagomålsmail/A 52652-2023 FSC-klagomål mail.docx", "A 52652-2023")</f>
        <v/>
      </c>
      <c r="AA13">
        <f>HYPERLINK("https://klasma.github.io/Logging_1285/tillsyn/A 52652-2023 tillsynsbegäran.docx", "A 52652-2023")</f>
        <v/>
      </c>
      <c r="AB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46221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Gråtrut</t>
        </is>
      </c>
      <c r="V14">
        <f>HYPERLINK("https://klasma.github.io/Logging_1285/artfynd/A 18713-2024 artfynd.xlsx", "A 18713-2024")</f>
        <v/>
      </c>
      <c r="W14">
        <f>HYPERLINK("https://klasma.github.io/Logging_1285/kartor/A 18713-2024 karta.png", "A 18713-2024")</f>
        <v/>
      </c>
      <c r="Y14">
        <f>HYPERLINK("https://klasma.github.io/Logging_1285/klagomål/A 18713-2024 FSC-klagomål.docx", "A 18713-2024")</f>
        <v/>
      </c>
      <c r="Z14">
        <f>HYPERLINK("https://klasma.github.io/Logging_1285/klagomålsmail/A 18713-2024 FSC-klagomål mail.docx", "A 18713-2024")</f>
        <v/>
      </c>
      <c r="AA14">
        <f>HYPERLINK("https://klasma.github.io/Logging_1285/tillsyn/A 18713-2024 tillsynsbegäran.docx", "A 18713-2024")</f>
        <v/>
      </c>
      <c r="AB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46221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HYPERLINK("https://klasma.github.io/Logging_1285/artfynd/A 24809-2025 artfynd.xlsx", "A 24809-2025")</f>
        <v/>
      </c>
      <c r="W15">
        <f>HYPERLINK("https://klasma.github.io/Logging_1285/kartor/A 24809-2025 karta.png", "A 24809-2025")</f>
        <v/>
      </c>
      <c r="Y15">
        <f>HYPERLINK("https://klasma.github.io/Logging_1285/klagomål/A 24809-2025 FSC-klagomål.docx", "A 24809-2025")</f>
        <v/>
      </c>
      <c r="Z15">
        <f>HYPERLINK("https://klasma.github.io/Logging_1285/klagomålsmail/A 24809-2025 FSC-klagomål mail.docx", "A 24809-2025")</f>
        <v/>
      </c>
      <c r="AA15">
        <f>HYPERLINK("https://klasma.github.io/Logging_1285/tillsyn/A 24809-2025 tillsynsbegäran.docx", "A 24809-2025")</f>
        <v/>
      </c>
      <c r="AB15">
        <f>HYPERLINK("https://klasma.github.io/Logging_1285/tillsynsmail/A 24809-2025 tillsynsbegäran mail.docx", "A 24809-2025")</f>
        <v/>
      </c>
      <c r="AC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46221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46221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46221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11221-2024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46221</v>
      </c>
      <c r="F19" t="inlineStr">
        <is>
          <t>SKÅNE LÄN</t>
        </is>
      </c>
      <c r="G19" t="inlineStr">
        <is>
          <t>ESLÖV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46221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46221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46221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46221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46221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43808-2024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45571</v>
      </c>
      <c r="E25" s="1" t="n">
        <v>46221</v>
      </c>
      <c r="F25" t="inlineStr">
        <is>
          <t>SKÅNE LÄN</t>
        </is>
      </c>
      <c r="G25" t="inlineStr">
        <is>
          <t>ESLÖV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28088-2025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45817</v>
      </c>
      <c r="E26" s="1" t="n">
        <v>46221</v>
      </c>
      <c r="F26" t="inlineStr">
        <is>
          <t>SKÅNE LÄN</t>
        </is>
      </c>
      <c r="G26" t="inlineStr">
        <is>
          <t>ESLÖV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46221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58721-2025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45986</v>
      </c>
      <c r="E28" s="1" t="n">
        <v>46221</v>
      </c>
      <c r="F28" t="inlineStr">
        <is>
          <t>SKÅNE LÄN</t>
        </is>
      </c>
      <c r="G28" t="inlineStr">
        <is>
          <t>ESLÖV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46221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46221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46221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46221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46221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46221</v>
      </c>
      <c r="F34" t="inlineStr">
        <is>
          <t>SKÅNE LÄN</t>
        </is>
      </c>
      <c r="G34" t="inlineStr">
        <is>
          <t>ESLÖV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9849-2026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46072</v>
      </c>
      <c r="E35" s="1" t="n">
        <v>46221</v>
      </c>
      <c r="F35" t="inlineStr">
        <is>
          <t>SKÅNE LÄN</t>
        </is>
      </c>
      <c r="G35" t="inlineStr">
        <is>
          <t>ESLÖV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46074</v>
      </c>
      <c r="E36" s="1" t="n">
        <v>46221</v>
      </c>
      <c r="F36" t="inlineStr">
        <is>
          <t>SKÅNE LÄN</t>
        </is>
      </c>
      <c r="G36" t="inlineStr">
        <is>
          <t>ESLÖV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46221</v>
      </c>
      <c r="F37" t="inlineStr">
        <is>
          <t>SKÅNE LÄN</t>
        </is>
      </c>
      <c r="G37" t="inlineStr">
        <is>
          <t>ESLÖV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46221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14013-2026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46221</v>
      </c>
      <c r="F39" t="inlineStr">
        <is>
          <t>SKÅNE LÄN</t>
        </is>
      </c>
      <c r="G39" t="inlineStr">
        <is>
          <t>ESLÖV</t>
        </is>
      </c>
      <c r="H39" t="inlineStr">
        <is>
          <t>Sveaskog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46221</v>
      </c>
      <c r="F40" t="inlineStr">
        <is>
          <t>SKÅNE LÄN</t>
        </is>
      </c>
      <c r="G40" t="inlineStr">
        <is>
          <t>ESLÖV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46221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46221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46221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46221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26165-2026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46221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46221</v>
      </c>
      <c r="F46" t="inlineStr">
        <is>
          <t>SKÅNE LÄN</t>
        </is>
      </c>
      <c r="G46" t="inlineStr">
        <is>
          <t>ESLÖV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46221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46221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26497-2026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46221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46221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46221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46221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62496-2023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45268</v>
      </c>
      <c r="E53" s="1" t="n">
        <v>46221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22134-2026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46221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46221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24115-2022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44725</v>
      </c>
      <c r="E56" s="1" t="n">
        <v>46221</v>
      </c>
      <c r="F56" t="inlineStr">
        <is>
          <t>SKÅNE LÄN</t>
        </is>
      </c>
      <c r="G56" t="inlineStr">
        <is>
          <t>ESLÖV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46221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46221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46221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46221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46221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46221</v>
      </c>
      <c r="F62" t="inlineStr">
        <is>
          <t>SKÅNE LÄN</t>
        </is>
      </c>
      <c r="G62" t="inlineStr">
        <is>
          <t>ESLÖV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46221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46221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46221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25730-2026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46221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46221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46221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46221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46221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46221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