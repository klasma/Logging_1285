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46223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s="2" t="inlineStr">
        <is>
          <t>Förgyllt metallfly
Grönfink
Revig blodrot
Gulsparv
Skogsveronika
Spillkråka
Kungsfågel
Revlummer</t>
        </is>
      </c>
      <c r="V2">
        <f>HYPERLINK("https://klasma.github.io/Logging_1285/artfynd/S 146-2024 artfynd.xlsx", "S 146-2024")</f>
        <v/>
      </c>
      <c r="W2">
        <f>HYPERLINK("https://klasma.github.io/Logging_1285/kartor/S 146-2024 karta.png", "S 146-2024")</f>
        <v/>
      </c>
      <c r="X2">
        <f>HYPERLINK("https://klasma.github.io/Logging_1285/kartor_geotiff/S 146-2024 georefererad karta.tif", "S 146-2024")</f>
        <v/>
      </c>
      <c r="Z2">
        <f>HYPERLINK("https://klasma.github.io/Logging_1285/klagomål/S 146-2024 FSC-klagomål.docx", "S 146-2024")</f>
        <v/>
      </c>
      <c r="AA2">
        <f>HYPERLINK("https://klasma.github.io/Logging_1285/klagomålsmail/S 146-2024 FSC-klagomål mail.docx", "S 146-2024")</f>
        <v/>
      </c>
      <c r="AB2">
        <f>HYPERLINK("https://klasma.github.io/Logging_1285/tillsyn/S 146-2024 tillsynsbegäran.docx", "S 146-2024")</f>
        <v/>
      </c>
      <c r="AC2">
        <f>HYPERLINK("https://klasma.github.io/Logging_1285/tillsynsmail/S 146-2024 tillsynsbegäran mail.docx", "S 146-2024")</f>
        <v/>
      </c>
      <c r="AD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46223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s="2" t="inlineStr">
        <is>
          <t>Ask
Desmeknopp
Myskmadra
Skogsknipprot
Springkorn
Stor häxört
Svart trolldruva</t>
        </is>
      </c>
      <c r="V3">
        <f>HYPERLINK("https://klasma.github.io/Logging_1285/artfynd/A 53826-2024 artfynd.xlsx", "A 53826-2024")</f>
        <v/>
      </c>
      <c r="W3">
        <f>HYPERLINK("https://klasma.github.io/Logging_1285/kartor/A 53826-2024 karta.png", "A 53826-2024")</f>
        <v/>
      </c>
      <c r="X3">
        <f>HYPERLINK("https://klasma.github.io/Logging_1285/kartor_geotiff/A 53826-2024 georefererad karta.tif", "A 53826-2024")</f>
        <v/>
      </c>
      <c r="Z3">
        <f>HYPERLINK("https://klasma.github.io/Logging_1285/klagomål/A 53826-2024 FSC-klagomål.docx", "A 53826-2024")</f>
        <v/>
      </c>
      <c r="AA3">
        <f>HYPERLINK("https://klasma.github.io/Logging_1285/klagomålsmail/A 53826-2024 FSC-klagomål mail.docx", "A 53826-2024")</f>
        <v/>
      </c>
      <c r="AB3">
        <f>HYPERLINK("https://klasma.github.io/Logging_1285/tillsyn/A 53826-2024 tillsynsbegäran.docx", "A 53826-2024")</f>
        <v/>
      </c>
      <c r="AC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46223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Spillkråka
Gröngöling
Havsörn
Svartvit flugsnappare
Törnskata
Ärtsångare</t>
        </is>
      </c>
      <c r="V4">
        <f>HYPERLINK("https://klasma.github.io/Logging_1285/artfynd/A 6545-2023 artfynd.xlsx", "A 6545-2023")</f>
        <v/>
      </c>
      <c r="W4">
        <f>HYPERLINK("https://klasma.github.io/Logging_1285/kartor/A 6545-2023 karta.png", "A 6545-2023")</f>
        <v/>
      </c>
      <c r="X4">
        <f>HYPERLINK("https://klasma.github.io/Logging_1285/kartor_geotiff/A 6545-2023 georefererad karta.tif", "A 6545-2023")</f>
        <v/>
      </c>
      <c r="Z4">
        <f>HYPERLINK("https://klasma.github.io/Logging_1285/klagomål/A 6545-2023 FSC-klagomål.docx", "A 6545-2023")</f>
        <v/>
      </c>
      <c r="AA4">
        <f>HYPERLINK("https://klasma.github.io/Logging_1285/klagomålsmail/A 6545-2023 FSC-klagomål mail.docx", "A 6545-2023")</f>
        <v/>
      </c>
      <c r="AB4">
        <f>HYPERLINK("https://klasma.github.io/Logging_1285/tillsyn/A 6545-2023 tillsynsbegäran.docx", "A 6545-2023")</f>
        <v/>
      </c>
      <c r="AC4">
        <f>HYPERLINK("https://klasma.github.io/Logging_1285/tillsynsmail/A 6545-2023 tillsynsbegäran mail.docx", "A 6545-2023")</f>
        <v/>
      </c>
      <c r="AD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46223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s="2" t="inlineStr">
        <is>
          <t>Skogsalm
Brunfläckig pärlemorfjäril
Igelkott
Björktrast
Skogsknipprot</t>
        </is>
      </c>
      <c r="V5">
        <f>HYPERLINK("https://klasma.github.io/Logging_1285/artfynd/S 5728-2022 artfynd.xlsx", "S 5728-2022")</f>
        <v/>
      </c>
      <c r="W5">
        <f>HYPERLINK("https://klasma.github.io/Logging_1285/kartor/S 5728-2022 karta.png", "S 5728-2022")</f>
        <v/>
      </c>
      <c r="X5">
        <f>HYPERLINK("https://klasma.github.io/Logging_1285/kartor_geotiff/S 5728-2022 georefererad karta.tif", "S 5728-2022")</f>
        <v/>
      </c>
      <c r="Z5">
        <f>HYPERLINK("https://klasma.github.io/Logging_1285/klagomål/S 5728-2022 FSC-klagomål.docx", "S 5728-2022")</f>
        <v/>
      </c>
      <c r="AA5">
        <f>HYPERLINK("https://klasma.github.io/Logging_1285/klagomålsmail/S 5728-2022 FSC-klagomål mail.docx", "S 5728-2022")</f>
        <v/>
      </c>
      <c r="AB5">
        <f>HYPERLINK("https://klasma.github.io/Logging_1285/tillsyn/S 5728-2022 tillsynsbegäran.docx", "S 5728-2022")</f>
        <v/>
      </c>
      <c r="AC5">
        <f>HYPERLINK("https://klasma.github.io/Logging_1285/tillsynsmail/S 5728-2022 tillsynsbegäran mail.docx", "S 5728-2022")</f>
        <v/>
      </c>
      <c r="AD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46223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s="2" t="inlineStr">
        <is>
          <t>Grönfink
Spillkråka
Kungsfågel</t>
        </is>
      </c>
      <c r="V6">
        <f>HYPERLINK("https://klasma.github.io/Logging_1285/artfynd/A 28093-2025 artfynd.xlsx", "A 28093-2025")</f>
        <v/>
      </c>
      <c r="W6">
        <f>HYPERLINK("https://klasma.github.io/Logging_1285/kartor/A 28093-2025 karta.png", "A 28093-2025")</f>
        <v/>
      </c>
      <c r="X6">
        <f>HYPERLINK("https://klasma.github.io/Logging_1285/kartor_geotiff/A 28093-2025 georefererad karta.tif", "A 28093-2025")</f>
        <v/>
      </c>
      <c r="Z6">
        <f>HYPERLINK("https://klasma.github.io/Logging_1285/klagomål/A 28093-2025 FSC-klagomål.docx", "A 28093-2025")</f>
        <v/>
      </c>
      <c r="AA6">
        <f>HYPERLINK("https://klasma.github.io/Logging_1285/klagomålsmail/A 28093-2025 FSC-klagomål mail.docx", "A 28093-2025")</f>
        <v/>
      </c>
      <c r="AB6">
        <f>HYPERLINK("https://klasma.github.io/Logging_1285/tillsyn/A 28093-2025 tillsynsbegäran.docx", "A 28093-2025")</f>
        <v/>
      </c>
      <c r="AC6">
        <f>HYPERLINK("https://klasma.github.io/Logging_1285/tillsynsmail/A 28093-2025 tillsynsbegäran mail.docx", "A 28093-2025")</f>
        <v/>
      </c>
      <c r="AD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46223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s="2" t="inlineStr">
        <is>
          <t>Ask
Kransrams</t>
        </is>
      </c>
      <c r="V7">
        <f>HYPERLINK("https://klasma.github.io/Logging_1285/artfynd/A 14395-2026 artfynd.xlsx", "A 14395-2026")</f>
        <v/>
      </c>
      <c r="W7">
        <f>HYPERLINK("https://klasma.github.io/Logging_1285/kartor/A 14395-2026 karta.png", "A 14395-2026")</f>
        <v/>
      </c>
      <c r="X7">
        <f>HYPERLINK("https://klasma.github.io/Logging_1285/kartor_geotiff/A 14395-2026 georefererad karta.tif", "A 14395-2026")</f>
        <v/>
      </c>
      <c r="Z7">
        <f>HYPERLINK("https://klasma.github.io/Logging_1285/klagomål/A 14395-2026 FSC-klagomål.docx", "A 14395-2026")</f>
        <v/>
      </c>
      <c r="AA7">
        <f>HYPERLINK("https://klasma.github.io/Logging_1285/klagomålsmail/A 14395-2026 FSC-klagomål mail.docx", "A 14395-2026")</f>
        <v/>
      </c>
      <c r="AB7">
        <f>HYPERLINK("https://klasma.github.io/Logging_1285/tillsyn/A 14395-2026 tillsynsbegäran.docx", "A 14395-2026")</f>
        <v/>
      </c>
      <c r="AC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46223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Älg
Kambräken</t>
        </is>
      </c>
      <c r="V8">
        <f>HYPERLINK("https://klasma.github.io/Logging_1285/artfynd/A 9487-2023 artfynd.xlsx", "A 9487-2023")</f>
        <v/>
      </c>
      <c r="W8">
        <f>HYPERLINK("https://klasma.github.io/Logging_1285/kartor/A 9487-2023 karta.png", "A 9487-2023")</f>
        <v/>
      </c>
      <c r="X8">
        <f>HYPERLINK("https://klasma.github.io/Logging_1285/kartor_geotiff/A 9487-2023 georefererad karta.tif", "A 9487-2023")</f>
        <v/>
      </c>
      <c r="Z8">
        <f>HYPERLINK("https://klasma.github.io/Logging_1285/klagomål/A 9487-2023 FSC-klagomål.docx", "A 9487-2023")</f>
        <v/>
      </c>
      <c r="AA8">
        <f>HYPERLINK("https://klasma.github.io/Logging_1285/klagomålsmail/A 9487-2023 FSC-klagomål mail.docx", "A 9487-2023")</f>
        <v/>
      </c>
      <c r="AB8">
        <f>HYPERLINK("https://klasma.github.io/Logging_1285/tillsyn/A 9487-2023 tillsynsbegäran.docx", "A 9487-2023")</f>
        <v/>
      </c>
      <c r="AC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46223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Kransrams</t>
        </is>
      </c>
      <c r="V9">
        <f>HYPERLINK("https://klasma.github.io/Logging_1285/artfynd/A 23773-2025 artfynd.xlsx", "A 23773-2025")</f>
        <v/>
      </c>
      <c r="W9">
        <f>HYPERLINK("https://klasma.github.io/Logging_1285/kartor/A 23773-2025 karta.png", "A 23773-2025")</f>
        <v/>
      </c>
      <c r="X9">
        <f>HYPERLINK("https://klasma.github.io/Logging_1285/kartor_geotiff/A 23773-2025 georefererad karta.tif", "A 23773-2025")</f>
        <v/>
      </c>
      <c r="Z9">
        <f>HYPERLINK("https://klasma.github.io/Logging_1285/klagomål/A 23773-2025 FSC-klagomål.docx", "A 23773-2025")</f>
        <v/>
      </c>
      <c r="AA9">
        <f>HYPERLINK("https://klasma.github.io/Logging_1285/klagomålsmail/A 23773-2025 FSC-klagomål mail.docx", "A 23773-2025")</f>
        <v/>
      </c>
      <c r="AB9">
        <f>HYPERLINK("https://klasma.github.io/Logging_1285/tillsyn/A 23773-2025 tillsynsbegäran.docx", "A 23773-2025")</f>
        <v/>
      </c>
      <c r="AC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46223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Slåttergubbe</t>
        </is>
      </c>
      <c r="V10">
        <f>HYPERLINK("https://klasma.github.io/Logging_1285/artfynd/A 27443-2026 artfynd.xlsx", "A 27443-2026")</f>
        <v/>
      </c>
      <c r="W10">
        <f>HYPERLINK("https://klasma.github.io/Logging_1285/kartor/A 27443-2026 karta.png", "A 27443-2026")</f>
        <v/>
      </c>
      <c r="X10">
        <f>HYPERLINK("https://klasma.github.io/Logging_1285/kartor_geotiff/A 27443-2026 georefererad karta.tif", "A 27443-2026")</f>
        <v/>
      </c>
      <c r="Z10">
        <f>HYPERLINK("https://klasma.github.io/Logging_1285/klagomål/A 27443-2026 FSC-klagomål.docx", "A 27443-2026")</f>
        <v/>
      </c>
      <c r="AA10">
        <f>HYPERLINK("https://klasma.github.io/Logging_1285/klagomålsmail/A 27443-2026 FSC-klagomål mail.docx", "A 27443-2026")</f>
        <v/>
      </c>
      <c r="AB10">
        <f>HYPERLINK("https://klasma.github.io/Logging_1285/tillsyn/A 27443-2026 tillsynsbegäran.docx", "A 27443-2026")</f>
        <v/>
      </c>
      <c r="AC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46223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s="2" t="inlineStr">
        <is>
          <t>Gullpudra</t>
        </is>
      </c>
      <c r="V11">
        <f>HYPERLINK("https://klasma.github.io/Logging_1285/artfynd/A 61035-2024 artfynd.xlsx", "A 61035-2024")</f>
        <v/>
      </c>
      <c r="W11">
        <f>HYPERLINK("https://klasma.github.io/Logging_1285/kartor/A 61035-2024 karta.png", "A 61035-2024")</f>
        <v/>
      </c>
      <c r="X11">
        <f>HYPERLINK("https://klasma.github.io/Logging_1285/kartor_geotiff/A 61035-2024 georefererad karta.tif", "A 61035-2024")</f>
        <v/>
      </c>
      <c r="Z11">
        <f>HYPERLINK("https://klasma.github.io/Logging_1285/klagomål/A 61035-2024 FSC-klagomål.docx", "A 61035-2024")</f>
        <v/>
      </c>
      <c r="AA11">
        <f>HYPERLINK("https://klasma.github.io/Logging_1285/klagomålsmail/A 61035-2024 FSC-klagomål mail.docx", "A 61035-2024")</f>
        <v/>
      </c>
      <c r="AB11">
        <f>HYPERLINK("https://klasma.github.io/Logging_1285/tillsyn/A 61035-2024 tillsynsbegäran.docx", "A 61035-2024")</f>
        <v/>
      </c>
      <c r="AC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46223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Svart stork</t>
        </is>
      </c>
      <c r="V12">
        <f>HYPERLINK("https://klasma.github.io/Logging_1285/artfynd/A 1510-2024 artfynd.xlsx", "A 1510-2024")</f>
        <v/>
      </c>
      <c r="W12">
        <f>HYPERLINK("https://klasma.github.io/Logging_1285/kartor/A 1510-2024 karta.png", "A 1510-2024")</f>
        <v/>
      </c>
      <c r="X12">
        <f>HYPERLINK("https://klasma.github.io/Logging_1285/kartor_geotiff/A 1510-2024 georefererad karta.tif", "A 1510-2024")</f>
        <v/>
      </c>
      <c r="Z12">
        <f>HYPERLINK("https://klasma.github.io/Logging_1285/klagomål/A 1510-2024 FSC-klagomål.docx", "A 1510-2024")</f>
        <v/>
      </c>
      <c r="AA12">
        <f>HYPERLINK("https://klasma.github.io/Logging_1285/klagomålsmail/A 1510-2024 FSC-klagomål mail.docx", "A 1510-2024")</f>
        <v/>
      </c>
      <c r="AB12">
        <f>HYPERLINK("https://klasma.github.io/Logging_1285/tillsyn/A 1510-2024 tillsynsbegäran.docx", "A 1510-2024")</f>
        <v/>
      </c>
      <c r="AC12">
        <f>HYPERLINK("https://klasma.github.io/Logging_1285/tillsynsmail/A 1510-2024 tillsynsbegäran mail.docx", "A 1510-2024")</f>
        <v/>
      </c>
      <c r="AD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46223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Grönfläckig padda</t>
        </is>
      </c>
      <c r="V13">
        <f>HYPERLINK("https://klasma.github.io/Logging_1285/artfynd/A 52652-2023 artfynd.xlsx", "A 52652-2023")</f>
        <v/>
      </c>
      <c r="W13">
        <f>HYPERLINK("https://klasma.github.io/Logging_1285/kartor/A 52652-2023 karta.png", "A 52652-2023")</f>
        <v/>
      </c>
      <c r="X13">
        <f>HYPERLINK("https://klasma.github.io/Logging_1285/kartor_geotiff/A 52652-2023 georefererad karta.tif", "A 52652-2023")</f>
        <v/>
      </c>
      <c r="Z13">
        <f>HYPERLINK("https://klasma.github.io/Logging_1285/klagomål/A 52652-2023 FSC-klagomål.docx", "A 52652-2023")</f>
        <v/>
      </c>
      <c r="AA13">
        <f>HYPERLINK("https://klasma.github.io/Logging_1285/klagomålsmail/A 52652-2023 FSC-klagomål mail.docx", "A 52652-2023")</f>
        <v/>
      </c>
      <c r="AB13">
        <f>HYPERLINK("https://klasma.github.io/Logging_1285/tillsyn/A 52652-2023 tillsynsbegäran.docx", "A 52652-2023")</f>
        <v/>
      </c>
      <c r="AC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46223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Gråtrut</t>
        </is>
      </c>
      <c r="V14">
        <f>HYPERLINK("https://klasma.github.io/Logging_1285/artfynd/A 18713-2024 artfynd.xlsx", "A 18713-2024")</f>
        <v/>
      </c>
      <c r="W14">
        <f>HYPERLINK("https://klasma.github.io/Logging_1285/kartor/A 18713-2024 karta.png", "A 18713-2024")</f>
        <v/>
      </c>
      <c r="X14">
        <f>HYPERLINK("https://klasma.github.io/Logging_1285/kartor_geotiff/A 18713-2024 georefererad karta.tif", "A 18713-2024")</f>
        <v/>
      </c>
      <c r="Z14">
        <f>HYPERLINK("https://klasma.github.io/Logging_1285/klagomål/A 18713-2024 FSC-klagomål.docx", "A 18713-2024")</f>
        <v/>
      </c>
      <c r="AA14">
        <f>HYPERLINK("https://klasma.github.io/Logging_1285/klagomålsmail/A 18713-2024 FSC-klagomål mail.docx", "A 18713-2024")</f>
        <v/>
      </c>
      <c r="AB14">
        <f>HYPERLINK("https://klasma.github.io/Logging_1285/tillsyn/A 18713-2024 tillsynsbegäran.docx", "A 18713-2024")</f>
        <v/>
      </c>
      <c r="AC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46223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HYPERLINK("https://klasma.github.io/Logging_1285/artfynd/A 24809-2025 artfynd.xlsx", "A 24809-2025")</f>
        <v/>
      </c>
      <c r="W15">
        <f>HYPERLINK("https://klasma.github.io/Logging_1285/kartor/A 24809-2025 karta.png", "A 24809-2025")</f>
        <v/>
      </c>
      <c r="X15">
        <f>HYPERLINK("https://klasma.github.io/Logging_1285/kartor_geotiff/A 24809-2025 georefererad karta.tif", "A 24809-2025")</f>
        <v/>
      </c>
      <c r="Z15">
        <f>HYPERLINK("https://klasma.github.io/Logging_1285/klagomål/A 24809-2025 FSC-klagomål.docx", "A 24809-2025")</f>
        <v/>
      </c>
      <c r="AA15">
        <f>HYPERLINK("https://klasma.github.io/Logging_1285/klagomålsmail/A 24809-2025 FSC-klagomål mail.docx", "A 24809-2025")</f>
        <v/>
      </c>
      <c r="AB15">
        <f>HYPERLINK("https://klasma.github.io/Logging_1285/tillsyn/A 24809-2025 tillsynsbegäran.docx", "A 24809-2025")</f>
        <v/>
      </c>
      <c r="AC15">
        <f>HYPERLINK("https://klasma.github.io/Logging_1285/tillsynsmail/A 24809-2025 tillsynsbegäran mail.docx", "A 24809-2025")</f>
        <v/>
      </c>
      <c r="AD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46223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46223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12079-2024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45377</v>
      </c>
      <c r="E18" s="1" t="n">
        <v>46223</v>
      </c>
      <c r="F18" t="inlineStr">
        <is>
          <t>SKÅNE LÄN</t>
        </is>
      </c>
      <c r="G18" t="inlineStr">
        <is>
          <t>ESLÖV</t>
        </is>
      </c>
      <c r="I18" t="n">
        <v>6.9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11221-2024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45371</v>
      </c>
      <c r="E19" s="1" t="n">
        <v>46223</v>
      </c>
      <c r="F19" t="inlineStr">
        <is>
          <t>SKÅNE LÄN</t>
        </is>
      </c>
      <c r="G19" t="inlineStr">
        <is>
          <t>ESLÖV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15533-2024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45401</v>
      </c>
      <c r="E20" s="1" t="n">
        <v>46223</v>
      </c>
      <c r="F20" t="inlineStr">
        <is>
          <t>SKÅNE LÄN</t>
        </is>
      </c>
      <c r="G20" t="inlineStr">
        <is>
          <t>ESLÖV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46223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5869-2023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44958</v>
      </c>
      <c r="E22" s="1" t="n">
        <v>46223</v>
      </c>
      <c r="F22" t="inlineStr">
        <is>
          <t>SKÅNE LÄN</t>
        </is>
      </c>
      <c r="G22" t="inlineStr">
        <is>
          <t>ESLÖV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9482-2023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44981</v>
      </c>
      <c r="E23" s="1" t="n">
        <v>46223</v>
      </c>
      <c r="F23" t="inlineStr">
        <is>
          <t>SKÅNE LÄN</t>
        </is>
      </c>
      <c r="G23" t="inlineStr">
        <is>
          <t>ESLÖV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25385-2023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45089</v>
      </c>
      <c r="E24" s="1" t="n">
        <v>46223</v>
      </c>
      <c r="F24" t="inlineStr">
        <is>
          <t>SKÅNE LÄN</t>
        </is>
      </c>
      <c r="G24" t="inlineStr">
        <is>
          <t>ESLÖV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43808-2024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45571</v>
      </c>
      <c r="E25" s="1" t="n">
        <v>46223</v>
      </c>
      <c r="F25" t="inlineStr">
        <is>
          <t>SKÅNE LÄN</t>
        </is>
      </c>
      <c r="G25" t="inlineStr">
        <is>
          <t>ESLÖV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28088-2025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45817</v>
      </c>
      <c r="E26" s="1" t="n">
        <v>46223</v>
      </c>
      <c r="F26" t="inlineStr">
        <is>
          <t>SKÅNE LÄN</t>
        </is>
      </c>
      <c r="G26" t="inlineStr">
        <is>
          <t>ESLÖV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46223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58721-2025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45986</v>
      </c>
      <c r="E28" s="1" t="n">
        <v>46223</v>
      </c>
      <c r="F28" t="inlineStr">
        <is>
          <t>SKÅNE LÄN</t>
        </is>
      </c>
      <c r="G28" t="inlineStr">
        <is>
          <t>ESLÖV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46223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46223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46223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35996-2025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46223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45863</v>
      </c>
      <c r="E33" s="1" t="n">
        <v>46223</v>
      </c>
      <c r="F33" t="inlineStr">
        <is>
          <t>SKÅNE LÄN</t>
        </is>
      </c>
      <c r="G33" t="inlineStr">
        <is>
          <t>ESLÖV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7409-2025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45705</v>
      </c>
      <c r="E34" s="1" t="n">
        <v>46223</v>
      </c>
      <c r="F34" t="inlineStr">
        <is>
          <t>SKÅNE LÄN</t>
        </is>
      </c>
      <c r="G34" t="inlineStr">
        <is>
          <t>ESLÖV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9849-2026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46072</v>
      </c>
      <c r="E35" s="1" t="n">
        <v>46223</v>
      </c>
      <c r="F35" t="inlineStr">
        <is>
          <t>SKÅNE LÄN</t>
        </is>
      </c>
      <c r="G35" t="inlineStr">
        <is>
          <t>ESLÖV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10111-2026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46074</v>
      </c>
      <c r="E36" s="1" t="n">
        <v>46223</v>
      </c>
      <c r="F36" t="inlineStr">
        <is>
          <t>SKÅNE LÄN</t>
        </is>
      </c>
      <c r="G36" t="inlineStr">
        <is>
          <t>ESLÖV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36761-2022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44805</v>
      </c>
      <c r="E37" s="1" t="n">
        <v>46223</v>
      </c>
      <c r="F37" t="inlineStr">
        <is>
          <t>SKÅNE LÄN</t>
        </is>
      </c>
      <c r="G37" t="inlineStr">
        <is>
          <t>ESLÖV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46223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14013-2026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46098</v>
      </c>
      <c r="E39" s="1" t="n">
        <v>46223</v>
      </c>
      <c r="F39" t="inlineStr">
        <is>
          <t>SKÅNE LÄN</t>
        </is>
      </c>
      <c r="G39" t="inlineStr">
        <is>
          <t>ESLÖV</t>
        </is>
      </c>
      <c r="H39" t="inlineStr">
        <is>
          <t>Sveaskog</t>
        </is>
      </c>
      <c r="I39" t="n">
        <v>8.800000000000001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14386-2026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46223</v>
      </c>
      <c r="F40" t="inlineStr">
        <is>
          <t>SKÅNE LÄN</t>
        </is>
      </c>
      <c r="G40" t="inlineStr">
        <is>
          <t>ESLÖV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47870-2025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45932</v>
      </c>
      <c r="E41" s="1" t="n">
        <v>46223</v>
      </c>
      <c r="F41" t="inlineStr">
        <is>
          <t>SKÅNE LÄN</t>
        </is>
      </c>
      <c r="G41" t="inlineStr">
        <is>
          <t>ESLÖV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46223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18281-2026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46125</v>
      </c>
      <c r="E43" s="1" t="n">
        <v>46223</v>
      </c>
      <c r="F43" t="inlineStr">
        <is>
          <t>SKÅNE LÄN</t>
        </is>
      </c>
      <c r="G43" t="inlineStr">
        <is>
          <t>ESLÖV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7016-2025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45701</v>
      </c>
      <c r="E44" s="1" t="n">
        <v>46223</v>
      </c>
      <c r="F44" t="inlineStr">
        <is>
          <t>SKÅNE LÄN</t>
        </is>
      </c>
      <c r="G44" t="inlineStr">
        <is>
          <t>ESLÖV</t>
        </is>
      </c>
      <c r="H44" t="inlineStr">
        <is>
          <t>Sveaskog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26165-2026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46223</v>
      </c>
      <c r="F45" t="inlineStr">
        <is>
          <t>SKÅNE LÄN</t>
        </is>
      </c>
      <c r="G45" t="inlineStr">
        <is>
          <t>ESLÖV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26169-2026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46223</v>
      </c>
      <c r="F46" t="inlineStr">
        <is>
          <t>SKÅNE LÄN</t>
        </is>
      </c>
      <c r="G46" t="inlineStr">
        <is>
          <t>ESLÖV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46223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46223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26497-2026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46183</v>
      </c>
      <c r="E49" s="1" t="n">
        <v>46223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27428-2026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46189</v>
      </c>
      <c r="E50" s="1" t="n">
        <v>46223</v>
      </c>
      <c r="F50" t="inlineStr">
        <is>
          <t>SKÅNE LÄN</t>
        </is>
      </c>
      <c r="G50" t="inlineStr">
        <is>
          <t>ESLÖV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27435-2026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46189</v>
      </c>
      <c r="E51" s="1" t="n">
        <v>46223</v>
      </c>
      <c r="F51" t="inlineStr">
        <is>
          <t>SKÅNE LÄN</t>
        </is>
      </c>
      <c r="G51" t="inlineStr">
        <is>
          <t>ESLÖV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46223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62496-2023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45268</v>
      </c>
      <c r="E53" s="1" t="n">
        <v>46223</v>
      </c>
      <c r="F53" t="inlineStr">
        <is>
          <t>SKÅNE LÄN</t>
        </is>
      </c>
      <c r="G53" t="inlineStr">
        <is>
          <t>ESLÖV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22134-2026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46153</v>
      </c>
      <c r="E54" s="1" t="n">
        <v>46223</v>
      </c>
      <c r="F54" t="inlineStr">
        <is>
          <t>SKÅNE LÄN</t>
        </is>
      </c>
      <c r="G54" t="inlineStr">
        <is>
          <t>ESLÖV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46223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24115-2022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44725</v>
      </c>
      <c r="E56" s="1" t="n">
        <v>46223</v>
      </c>
      <c r="F56" t="inlineStr">
        <is>
          <t>SKÅNE LÄN</t>
        </is>
      </c>
      <c r="G56" t="inlineStr">
        <is>
          <t>ESLÖV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18503-2026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46127</v>
      </c>
      <c r="E57" s="1" t="n">
        <v>46223</v>
      </c>
      <c r="F57" t="inlineStr">
        <is>
          <t>SKÅNE LÄN</t>
        </is>
      </c>
      <c r="G57" t="inlineStr">
        <is>
          <t>ESLÖV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46223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16733-2023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46223</v>
      </c>
      <c r="F59" t="inlineStr">
        <is>
          <t>SKÅNE LÄN</t>
        </is>
      </c>
      <c r="G59" t="inlineStr">
        <is>
          <t>ESLÖV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46223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10819-2026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46078</v>
      </c>
      <c r="E61" s="1" t="n">
        <v>46223</v>
      </c>
      <c r="F61" t="inlineStr">
        <is>
          <t>SKÅNE LÄN</t>
        </is>
      </c>
      <c r="G61" t="inlineStr">
        <is>
          <t>ESLÖV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1574-2024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45306</v>
      </c>
      <c r="E62" s="1" t="n">
        <v>46223</v>
      </c>
      <c r="F62" t="inlineStr">
        <is>
          <t>SKÅNE LÄN</t>
        </is>
      </c>
      <c r="G62" t="inlineStr">
        <is>
          <t>ESLÖV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46223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46223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46223</v>
      </c>
      <c r="F65" t="inlineStr">
        <is>
          <t>SKÅNE LÄN</t>
        </is>
      </c>
      <c r="G65" t="inlineStr">
        <is>
          <t>ESLÖV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25730-2026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46178</v>
      </c>
      <c r="E66" s="1" t="n">
        <v>46223</v>
      </c>
      <c r="F66" t="inlineStr">
        <is>
          <t>SKÅNE LÄN</t>
        </is>
      </c>
      <c r="G66" t="inlineStr">
        <is>
          <t>ESLÖV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46223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46223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46223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46223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>
      <c r="A71" t="inlineStr">
        <is>
          <t>A 16792-2024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46223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2026-07-20T01:47:08Z</dcterms:created>
  <dcterms:modified xmlns:dcterms="http://purl.org/dc/terms/" xmlns:xsi="http://www.w3.org/2001/XMLSchema-instance" xsi:type="dcterms:W3CDTF">2026-07-20T01:47:08Z</dcterms:modified>
</cp:coreProperties>
</file>