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46199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46199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23773-2025</t>
        </is>
      </c>
      <c r="B5" s="1" t="n">
        <v>45793</v>
      </c>
      <c r="C5" s="1" t="n">
        <v>46199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23773-2025 artfynd.xlsx", "A 23773-2025")</f>
        <v/>
      </c>
      <c r="T5">
        <f>HYPERLINK("https://klasma.github.io/Logging_1285/kartor/A 23773-2025 karta.png", "A 23773-2025")</f>
        <v/>
      </c>
      <c r="V5">
        <f>HYPERLINK("https://klasma.github.io/Logging_1285/klagomål/A 23773-2025 FSC-klagomål.docx", "A 23773-2025")</f>
        <v/>
      </c>
      <c r="W5">
        <f>HYPERLINK("https://klasma.github.io/Logging_1285/klagomålsmail/A 23773-2025 FSC-klagomål mail.docx", "A 23773-2025")</f>
        <v/>
      </c>
      <c r="X5">
        <f>HYPERLINK("https://klasma.github.io/Logging_1285/tillsyn/A 23773-2025 tillsynsbegäran.docx", "A 23773-2025")</f>
        <v/>
      </c>
      <c r="Y5">
        <f>HYPERLINK("https://klasma.github.io/Logging_1285/tillsynsmail/A 23773-2025 tillsynsbegäran mail.docx", "A 23773-2025")</f>
        <v/>
      </c>
    </row>
    <row r="6" ht="15" customHeight="1">
      <c r="A6" t="inlineStr">
        <is>
          <t>A 14395-2026</t>
        </is>
      </c>
      <c r="B6" s="1" t="n">
        <v>46100</v>
      </c>
      <c r="C6" s="1" t="n">
        <v>46199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14395-2026 artfynd.xlsx", "A 14395-2026")</f>
        <v/>
      </c>
      <c r="T6">
        <f>HYPERLINK("https://klasma.github.io/Logging_1285/kartor/A 14395-2026 karta.png", "A 14395-2026")</f>
        <v/>
      </c>
      <c r="V6">
        <f>HYPERLINK("https://klasma.github.io/Logging_1285/klagomål/A 14395-2026 FSC-klagomål.docx", "A 14395-2026")</f>
        <v/>
      </c>
      <c r="W6">
        <f>HYPERLINK("https://klasma.github.io/Logging_1285/klagomålsmail/A 14395-2026 FSC-klagomål mail.docx", "A 14395-2026")</f>
        <v/>
      </c>
      <c r="X6">
        <f>HYPERLINK("https://klasma.github.io/Logging_1285/tillsyn/A 14395-2026 tillsynsbegäran.docx", "A 14395-2026")</f>
        <v/>
      </c>
      <c r="Y6">
        <f>HYPERLINK("https://klasma.github.io/Logging_1285/tillsynsmail/A 14395-2026 tillsynsbegäran mail.docx", "A 14395-2026")</f>
        <v/>
      </c>
    </row>
    <row r="7" ht="15" customHeight="1">
      <c r="A7" t="inlineStr">
        <is>
          <t>A 9487-2023</t>
        </is>
      </c>
      <c r="B7" s="1" t="n">
        <v>44981</v>
      </c>
      <c r="C7" s="1" t="n">
        <v>46199</v>
      </c>
      <c r="D7" t="inlineStr">
        <is>
          <t>SKÅNE LÄN</t>
        </is>
      </c>
      <c r="E7" t="inlineStr">
        <is>
          <t>ESLÖV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Älg
Kambräken</t>
        </is>
      </c>
      <c r="S7">
        <f>HYPERLINK("https://klasma.github.io/Logging_1285/artfynd/A 9487-2023 artfynd.xlsx", "A 9487-2023")</f>
        <v/>
      </c>
      <c r="T7">
        <f>HYPERLINK("https://klasma.github.io/Logging_1285/kartor/A 9487-2023 karta.png", "A 9487-2023")</f>
        <v/>
      </c>
      <c r="V7">
        <f>HYPERLINK("https://klasma.github.io/Logging_1285/klagomål/A 9487-2023 FSC-klagomål.docx", "A 9487-2023")</f>
        <v/>
      </c>
      <c r="W7">
        <f>HYPERLINK("https://klasma.github.io/Logging_1285/klagomålsmail/A 9487-2023 FSC-klagomål mail.docx", "A 9487-2023")</f>
        <v/>
      </c>
      <c r="X7">
        <f>HYPERLINK("https://klasma.github.io/Logging_1285/tillsyn/A 9487-2023 tillsynsbegäran.docx", "A 9487-2023")</f>
        <v/>
      </c>
      <c r="Y7">
        <f>HYPERLINK("https://klasma.github.io/Logging_1285/tillsynsmail/A 9487-2023 tillsynsbegäran mail.docx", "A 9487-2023")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46199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46199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46199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46199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61035-2024</t>
        </is>
      </c>
      <c r="B12" s="1" t="n">
        <v>45645</v>
      </c>
      <c r="C12" s="1" t="n">
        <v>46199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Gullpudra</t>
        </is>
      </c>
      <c r="S12">
        <f>HYPERLINK("https://klasma.github.io/Logging_1285/artfynd/A 61035-2024 artfynd.xlsx", "A 61035-2024")</f>
        <v/>
      </c>
      <c r="T12">
        <f>HYPERLINK("https://klasma.github.io/Logging_1285/kartor/A 61035-2024 karta.png", "A 61035-2024")</f>
        <v/>
      </c>
      <c r="V12">
        <f>HYPERLINK("https://klasma.github.io/Logging_1285/klagomål/A 61035-2024 FSC-klagomål.docx", "A 61035-2024")</f>
        <v/>
      </c>
      <c r="W12">
        <f>HYPERLINK("https://klasma.github.io/Logging_1285/klagomålsmail/A 61035-2024 FSC-klagomål mail.docx", "A 61035-2024")</f>
        <v/>
      </c>
      <c r="X12">
        <f>HYPERLINK("https://klasma.github.io/Logging_1285/tillsyn/A 61035-2024 tillsynsbegäran.docx", "A 61035-2024")</f>
        <v/>
      </c>
      <c r="Y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s="1" t="n">
        <v>46189</v>
      </c>
      <c r="C13" s="1" t="n">
        <v>46199</v>
      </c>
      <c r="D13" t="inlineStr">
        <is>
          <t>SKÅNE LÄN</t>
        </is>
      </c>
      <c r="E13" t="inlineStr">
        <is>
          <t>ESLÖV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HYPERLINK("https://klasma.github.io/Logging_1285/artfynd/A 27443-2026 artfynd.xlsx", "A 27443-2026")</f>
        <v/>
      </c>
      <c r="T13">
        <f>HYPERLINK("https://klasma.github.io/Logging_1285/kartor/A 27443-2026 karta.png", "A 27443-2026")</f>
        <v/>
      </c>
      <c r="V13">
        <f>HYPERLINK("https://klasma.github.io/Logging_1285/klagomål/A 27443-2026 FSC-klagomål.docx", "A 27443-2026")</f>
        <v/>
      </c>
      <c r="W13">
        <f>HYPERLINK("https://klasma.github.io/Logging_1285/klagomålsmail/A 27443-2026 FSC-klagomål mail.docx", "A 27443-2026")</f>
        <v/>
      </c>
      <c r="X13">
        <f>HYPERLINK("https://klasma.github.io/Logging_1285/tillsyn/A 27443-2026 tillsynsbegäran.docx", "A 27443-2026")</f>
        <v/>
      </c>
      <c r="Y13">
        <f>HYPERLINK("https://klasma.github.io/Logging_1285/tillsynsmail/A 27443-2026 tillsynsbegäran mail.docx", "A 27443-2026")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46199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46199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</v>
      </c>
      <c r="C16" s="1" t="n">
        <v>46199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46199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</v>
      </c>
      <c r="C18" s="1" t="n">
        <v>46199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</v>
      </c>
      <c r="C19" s="1" t="n">
        <v>46199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46199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32984-2024</t>
        </is>
      </c>
      <c r="B21" s="1" t="n">
        <v>45517</v>
      </c>
      <c r="C21" s="1" t="n">
        <v>46199</v>
      </c>
      <c r="D21" t="inlineStr">
        <is>
          <t>SKÅNE LÄN</t>
        </is>
      </c>
      <c r="E21" t="inlineStr">
        <is>
          <t>ESLÖV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46199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16792-2024</t>
        </is>
      </c>
      <c r="B23" s="1" t="n">
        <v>45411</v>
      </c>
      <c r="C23" s="1" t="n">
        <v>46199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9482-2023</t>
        </is>
      </c>
      <c r="B24" s="1" t="n">
        <v>44981</v>
      </c>
      <c r="C24" s="1" t="n">
        <v>46199</v>
      </c>
      <c r="D24" t="inlineStr">
        <is>
          <t>SKÅNE LÄN</t>
        </is>
      </c>
      <c r="E24" t="inlineStr">
        <is>
          <t>ESLÖV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</v>
      </c>
      <c r="C25" s="1" t="n">
        <v>46199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28088-2025</t>
        </is>
      </c>
      <c r="B26" s="1" t="n">
        <v>45817</v>
      </c>
      <c r="C26" s="1" t="n">
        <v>46199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43808-2024</t>
        </is>
      </c>
      <c r="B27" s="1" t="n">
        <v>45571</v>
      </c>
      <c r="C27" s="1" t="n">
        <v>46199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</v>
      </c>
      <c r="C28" s="1" t="n">
        <v>46199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46199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47870-2025</t>
        </is>
      </c>
      <c r="B30" s="1" t="n">
        <v>45932</v>
      </c>
      <c r="C30" s="1" t="n">
        <v>46199</v>
      </c>
      <c r="D30" t="inlineStr">
        <is>
          <t>SKÅNE LÄN</t>
        </is>
      </c>
      <c r="E30" t="inlineStr">
        <is>
          <t>ESLÖV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46199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46199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2691-2026</t>
        </is>
      </c>
      <c r="B33" s="1" t="n">
        <v>46037</v>
      </c>
      <c r="C33" s="1" t="n">
        <v>46199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</v>
      </c>
      <c r="C34" s="1" t="n">
        <v>46199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58721-2025</t>
        </is>
      </c>
      <c r="B35" s="1" t="n">
        <v>45986</v>
      </c>
      <c r="C35" s="1" t="n">
        <v>46199</v>
      </c>
      <c r="D35" t="inlineStr">
        <is>
          <t>SKÅNE LÄN</t>
        </is>
      </c>
      <c r="E35" t="inlineStr">
        <is>
          <t>ESLÖV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25508-2023</t>
        </is>
      </c>
      <c r="B36" s="1" t="n">
        <v>45089</v>
      </c>
      <c r="C36" s="1" t="n">
        <v>46199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46199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9849-2026</t>
        </is>
      </c>
      <c r="B38" s="1" t="n">
        <v>46072</v>
      </c>
      <c r="C38" s="1" t="n">
        <v>46199</v>
      </c>
      <c r="D38" t="inlineStr">
        <is>
          <t>SKÅNE LÄN</t>
        </is>
      </c>
      <c r="E38" t="inlineStr">
        <is>
          <t>ESLÖV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10111-2026</t>
        </is>
      </c>
      <c r="B39" s="1" t="n">
        <v>46074</v>
      </c>
      <c r="C39" s="1" t="n">
        <v>46199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</v>
      </c>
      <c r="C40" s="1" t="n">
        <v>46199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14013-2026</t>
        </is>
      </c>
      <c r="B41" s="1" t="n">
        <v>46098</v>
      </c>
      <c r="C41" s="1" t="n">
        <v>46199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14386-2026</t>
        </is>
      </c>
      <c r="B42" s="1" t="n">
        <v>46100</v>
      </c>
      <c r="C42" s="1" t="n">
        <v>46199</v>
      </c>
      <c r="D42" t="inlineStr">
        <is>
          <t>SKÅNE LÄN</t>
        </is>
      </c>
      <c r="E42" t="inlineStr">
        <is>
          <t>ESLÖV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46199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25388-2023</t>
        </is>
      </c>
      <c r="B44" s="1" t="n">
        <v>45089</v>
      </c>
      <c r="C44" s="1" t="n">
        <v>46199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18281-2026</t>
        </is>
      </c>
      <c r="B45" s="1" t="n">
        <v>46125</v>
      </c>
      <c r="C45" s="1" t="n">
        <v>46199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10940-2024</t>
        </is>
      </c>
      <c r="B46" s="1" t="n">
        <v>45370</v>
      </c>
      <c r="C46" s="1" t="n">
        <v>46199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25730-2026</t>
        </is>
      </c>
      <c r="B47" s="1" t="n">
        <v>46178</v>
      </c>
      <c r="C47" s="1" t="n">
        <v>46199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26165-2026</t>
        </is>
      </c>
      <c r="B48" s="1" t="n">
        <v>46181</v>
      </c>
      <c r="C48" s="1" t="n">
        <v>46199</v>
      </c>
      <c r="D48" t="inlineStr">
        <is>
          <t>SKÅNE LÄN</t>
        </is>
      </c>
      <c r="E48" t="inlineStr">
        <is>
          <t>ESLÖV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46199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26169-2026</t>
        </is>
      </c>
      <c r="B50" s="1" t="n">
        <v>46181</v>
      </c>
      <c r="C50" s="1" t="n">
        <v>46199</v>
      </c>
      <c r="D50" t="inlineStr">
        <is>
          <t>SKÅNE LÄN</t>
        </is>
      </c>
      <c r="E50" t="inlineStr">
        <is>
          <t>ESLÖV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46199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18503-2026</t>
        </is>
      </c>
      <c r="B52" s="1" t="n">
        <v>46127</v>
      </c>
      <c r="C52" s="1" t="n">
        <v>46199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46199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26497-2026</t>
        </is>
      </c>
      <c r="B54" s="1" t="n">
        <v>46183</v>
      </c>
      <c r="C54" s="1" t="n">
        <v>46199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</v>
      </c>
      <c r="C55" s="1" t="n">
        <v>46199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46199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27428-2026</t>
        </is>
      </c>
      <c r="B57" s="1" t="n">
        <v>46189</v>
      </c>
      <c r="C57" s="1" t="n">
        <v>46199</v>
      </c>
      <c r="D57" t="inlineStr">
        <is>
          <t>SKÅNE LÄN</t>
        </is>
      </c>
      <c r="E57" t="inlineStr">
        <is>
          <t>ESLÖV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27435-2026</t>
        </is>
      </c>
      <c r="B58" s="1" t="n">
        <v>46189</v>
      </c>
      <c r="C58" s="1" t="n">
        <v>46199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27439-2026</t>
        </is>
      </c>
      <c r="B59" s="1" t="n">
        <v>46189</v>
      </c>
      <c r="C59" s="1" t="n">
        <v>46199</v>
      </c>
      <c r="D59" t="inlineStr">
        <is>
          <t>SKÅNE LÄN</t>
        </is>
      </c>
      <c r="E59" t="inlineStr">
        <is>
          <t>ESLÖV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46199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10819-2026</t>
        </is>
      </c>
      <c r="B61" s="1" t="n">
        <v>46078</v>
      </c>
      <c r="C61" s="1" t="n">
        <v>46199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22134-2026</t>
        </is>
      </c>
      <c r="B62" s="1" t="n">
        <v>46153</v>
      </c>
      <c r="C62" s="1" t="n">
        <v>46199</v>
      </c>
      <c r="D62" t="inlineStr">
        <is>
          <t>SKÅNE LÄN</t>
        </is>
      </c>
      <c r="E62" t="inlineStr">
        <is>
          <t>ESLÖV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34170-2023</t>
        </is>
      </c>
      <c r="B63" s="1" t="n">
        <v>45138</v>
      </c>
      <c r="C63" s="1" t="n">
        <v>46199</v>
      </c>
      <c r="D63" t="inlineStr">
        <is>
          <t>SKÅNE LÄN</t>
        </is>
      </c>
      <c r="E63" t="inlineStr">
        <is>
          <t>ESLÖV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24115-2022</t>
        </is>
      </c>
      <c r="B64" s="1" t="n">
        <v>44725</v>
      </c>
      <c r="C64" s="1" t="n">
        <v>46199</v>
      </c>
      <c r="D64" t="inlineStr">
        <is>
          <t>SKÅNE LÄN</t>
        </is>
      </c>
      <c r="E64" t="inlineStr">
        <is>
          <t>ESLÖV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9484-2023</t>
        </is>
      </c>
      <c r="B65" s="1" t="n">
        <v>44981</v>
      </c>
      <c r="C65" s="1" t="n">
        <v>46199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46199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46199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46199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46199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46199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</v>
      </c>
      <c r="C71" s="1" t="n">
        <v>46199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46199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46199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2026-06-26T00:50:20Z</dcterms:created>
  <dcterms:modified xmlns:dcterms="http://purl.org/dc/terms/" xmlns:xsi="http://www.w3.org/2001/XMLSchema-instance" xsi:type="dcterms:W3CDTF">2026-06-26T00:50:20Z</dcterms:modified>
</cp:coreProperties>
</file>