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46192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46192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9487-2023</t>
        </is>
      </c>
      <c r="B5" s="1" t="n">
        <v>44981</v>
      </c>
      <c r="C5" s="1" t="n">
        <v>46192</v>
      </c>
      <c r="D5" t="inlineStr">
        <is>
          <t>SKÅNE LÄN</t>
        </is>
      </c>
      <c r="E5" t="inlineStr">
        <is>
          <t>ESLÖV</t>
        </is>
      </c>
      <c r="G5" t="n">
        <v>1.9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Älg
Kambräken</t>
        </is>
      </c>
      <c r="S5">
        <f>HYPERLINK("https://klasma.github.io/Logging_1285/artfynd/A 9487-2023 artfynd.xlsx", "A 9487-2023")</f>
        <v/>
      </c>
      <c r="T5">
        <f>HYPERLINK("https://klasma.github.io/Logging_1285/kartor/A 9487-2023 karta.png", "A 9487-2023")</f>
        <v/>
      </c>
      <c r="V5">
        <f>HYPERLINK("https://klasma.github.io/Logging_1285/klagomål/A 9487-2023 FSC-klagomål.docx", "A 9487-2023")</f>
        <v/>
      </c>
      <c r="W5">
        <f>HYPERLINK("https://klasma.github.io/Logging_1285/klagomålsmail/A 9487-2023 FSC-klagomål mail.docx", "A 9487-2023")</f>
        <v/>
      </c>
      <c r="X5">
        <f>HYPERLINK("https://klasma.github.io/Logging_1285/tillsyn/A 9487-2023 tillsynsbegäran.docx", "A 9487-2023")</f>
        <v/>
      </c>
      <c r="Y5">
        <f>HYPERLINK("https://klasma.github.io/Logging_1285/tillsynsmail/A 9487-2023 tillsynsbegäran mail.docx", "A 9487-2023")</f>
        <v/>
      </c>
    </row>
    <row r="6" ht="15" customHeight="1">
      <c r="A6" t="inlineStr">
        <is>
          <t>A 23773-2025</t>
        </is>
      </c>
      <c r="B6" s="1" t="n">
        <v>45793</v>
      </c>
      <c r="C6" s="1" t="n">
        <v>46192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23773-2025 artfynd.xlsx", "A 23773-2025")</f>
        <v/>
      </c>
      <c r="T6">
        <f>HYPERLINK("https://klasma.github.io/Logging_1285/kartor/A 23773-2025 karta.png", "A 23773-2025")</f>
        <v/>
      </c>
      <c r="V6">
        <f>HYPERLINK("https://klasma.github.io/Logging_1285/klagomål/A 23773-2025 FSC-klagomål.docx", "A 23773-2025")</f>
        <v/>
      </c>
      <c r="W6">
        <f>HYPERLINK("https://klasma.github.io/Logging_1285/klagomålsmail/A 23773-2025 FSC-klagomål mail.docx", "A 23773-2025")</f>
        <v/>
      </c>
      <c r="X6">
        <f>HYPERLINK("https://klasma.github.io/Logging_1285/tillsyn/A 23773-2025 tillsynsbegäran.docx", "A 23773-2025")</f>
        <v/>
      </c>
      <c r="Y6">
        <f>HYPERLINK("https://klasma.github.io/Logging_1285/tillsynsmail/A 23773-2025 tillsynsbegäran mail.docx", "A 23773-2025")</f>
        <v/>
      </c>
    </row>
    <row r="7" ht="15" customHeight="1">
      <c r="A7" t="inlineStr">
        <is>
          <t>A 14395-2026</t>
        </is>
      </c>
      <c r="B7" s="1" t="n">
        <v>46100</v>
      </c>
      <c r="C7" s="1" t="n">
        <v>46192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14395-2026 artfynd.xlsx", "A 14395-2026")</f>
        <v/>
      </c>
      <c r="T7">
        <f>HYPERLINK("https://klasma.github.io/Logging_1285/kartor/A 14395-2026 karta.png", "A 14395-2026")</f>
        <v/>
      </c>
      <c r="V7">
        <f>HYPERLINK("https://klasma.github.io/Logging_1285/klagomål/A 14395-2026 FSC-klagomål.docx", "A 14395-2026")</f>
        <v/>
      </c>
      <c r="W7">
        <f>HYPERLINK("https://klasma.github.io/Logging_1285/klagomålsmail/A 14395-2026 FSC-klagomål mail.docx", "A 14395-2026")</f>
        <v/>
      </c>
      <c r="X7">
        <f>HYPERLINK("https://klasma.github.io/Logging_1285/tillsyn/A 14395-2026 tillsynsbegäran.docx", "A 14395-2026")</f>
        <v/>
      </c>
      <c r="Y7">
        <f>HYPERLINK("https://klasma.github.io/Logging_1285/tillsynsmail/A 14395-2026 tillsynsbegäran mail.docx", "A 14395-2026")</f>
        <v/>
      </c>
    </row>
    <row r="8" ht="15" customHeight="1">
      <c r="A8" t="inlineStr">
        <is>
          <t>A 61035-2024</t>
        </is>
      </c>
      <c r="B8" s="1" t="n">
        <v>45645</v>
      </c>
      <c r="C8" s="1" t="n">
        <v>46192</v>
      </c>
      <c r="D8" t="inlineStr">
        <is>
          <t>SKÅNE LÄN</t>
        </is>
      </c>
      <c r="E8" t="inlineStr">
        <is>
          <t>ESLÖV</t>
        </is>
      </c>
      <c r="G8" t="n">
        <v>7.6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Gullpudra</t>
        </is>
      </c>
      <c r="S8">
        <f>HYPERLINK("https://klasma.github.io/Logging_1285/artfynd/A 61035-2024 artfynd.xlsx", "A 61035-2024")</f>
        <v/>
      </c>
      <c r="T8">
        <f>HYPERLINK("https://klasma.github.io/Logging_1285/kartor/A 61035-2024 karta.png", "A 61035-2024")</f>
        <v/>
      </c>
      <c r="V8">
        <f>HYPERLINK("https://klasma.github.io/Logging_1285/klagomål/A 61035-2024 FSC-klagomål.docx", "A 61035-2024")</f>
        <v/>
      </c>
      <c r="W8">
        <f>HYPERLINK("https://klasma.github.io/Logging_1285/klagomålsmail/A 61035-2024 FSC-klagomål mail.docx", "A 61035-2024")</f>
        <v/>
      </c>
      <c r="X8">
        <f>HYPERLINK("https://klasma.github.io/Logging_1285/tillsyn/A 61035-2024 tillsynsbegäran.docx", "A 61035-2024")</f>
        <v/>
      </c>
      <c r="Y8">
        <f>HYPERLINK("https://klasma.github.io/Logging_1285/tillsynsmail/A 61035-2024 tillsynsbegäran mail.docx", "A 61035-2024")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46192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52652-2023</t>
        </is>
      </c>
      <c r="B10" s="1" t="n">
        <v>45225</v>
      </c>
      <c r="C10" s="1" t="n">
        <v>46192</v>
      </c>
      <c r="D10" t="inlineStr">
        <is>
          <t>SKÅNE LÄN</t>
        </is>
      </c>
      <c r="E10" t="inlineStr">
        <is>
          <t>ESLÖV</t>
        </is>
      </c>
      <c r="G10" t="n">
        <v>2.9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Grönfläckig padda</t>
        </is>
      </c>
      <c r="S10">
        <f>HYPERLINK("https://klasma.github.io/Logging_1285/artfynd/A 52652-2023 artfynd.xlsx", "A 52652-2023")</f>
        <v/>
      </c>
      <c r="T10">
        <f>HYPERLINK("https://klasma.github.io/Logging_1285/kartor/A 52652-2023 karta.png", "A 52652-2023")</f>
        <v/>
      </c>
      <c r="V10">
        <f>HYPERLINK("https://klasma.github.io/Logging_1285/klagomål/A 52652-2023 FSC-klagomål.docx", "A 52652-2023")</f>
        <v/>
      </c>
      <c r="W10">
        <f>HYPERLINK("https://klasma.github.io/Logging_1285/klagomålsmail/A 52652-2023 FSC-klagomål mail.docx", "A 52652-2023")</f>
        <v/>
      </c>
      <c r="X10">
        <f>HYPERLINK("https://klasma.github.io/Logging_1285/tillsyn/A 52652-2023 tillsynsbegäran.docx", "A 52652-2023")</f>
        <v/>
      </c>
      <c r="Y10">
        <f>HYPERLINK("https://klasma.github.io/Logging_1285/tillsynsmail/A 52652-2023 tillsynsbegäran mail.docx", "A 52652-2023")</f>
        <v/>
      </c>
    </row>
    <row r="11" ht="15" customHeight="1">
      <c r="A11" t="inlineStr">
        <is>
          <t>A 18713-2024</t>
        </is>
      </c>
      <c r="B11" s="1" t="n">
        <v>45426</v>
      </c>
      <c r="C11" s="1" t="n">
        <v>46192</v>
      </c>
      <c r="D11" t="inlineStr">
        <is>
          <t>SKÅNE LÄN</t>
        </is>
      </c>
      <c r="E11" t="inlineStr">
        <is>
          <t>ESLÖV</t>
        </is>
      </c>
      <c r="G11" t="n">
        <v>4.1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Gråtrut</t>
        </is>
      </c>
      <c r="S11">
        <f>HYPERLINK("https://klasma.github.io/Logging_1285/artfynd/A 18713-2024 artfynd.xlsx", "A 18713-2024")</f>
        <v/>
      </c>
      <c r="T11">
        <f>HYPERLINK("https://klasma.github.io/Logging_1285/kartor/A 18713-2024 karta.png", "A 18713-2024")</f>
        <v/>
      </c>
      <c r="V11">
        <f>HYPERLINK("https://klasma.github.io/Logging_1285/klagomål/A 18713-2024 FSC-klagomål.docx", "A 18713-2024")</f>
        <v/>
      </c>
      <c r="W11">
        <f>HYPERLINK("https://klasma.github.io/Logging_1285/klagomålsmail/A 18713-2024 FSC-klagomål mail.docx", "A 18713-2024")</f>
        <v/>
      </c>
      <c r="X11">
        <f>HYPERLINK("https://klasma.github.io/Logging_1285/tillsyn/A 18713-2024 tillsynsbegäran.docx", "A 18713-2024")</f>
        <v/>
      </c>
      <c r="Y11">
        <f>HYPERLINK("https://klasma.github.io/Logging_1285/tillsynsmail/A 18713-2024 tillsynsbegäran mail.docx", "A 18713-2024")</f>
        <v/>
      </c>
    </row>
    <row r="12" ht="15" customHeight="1">
      <c r="A12" t="inlineStr">
        <is>
          <t>A 24809-2025</t>
        </is>
      </c>
      <c r="B12" s="1" t="n">
        <v>45799</v>
      </c>
      <c r="C12" s="1" t="n">
        <v>46192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HYPERLINK("https://klasma.github.io/Logging_1285/artfynd/A 24809-2025 artfynd.xlsx", "A 24809-2025")</f>
        <v/>
      </c>
      <c r="T12">
        <f>HYPERLINK("https://klasma.github.io/Logging_1285/kartor/A 24809-2025 karta.png", "A 24809-2025")</f>
        <v/>
      </c>
      <c r="V12">
        <f>HYPERLINK("https://klasma.github.io/Logging_1285/klagomål/A 24809-2025 FSC-klagomål.docx", "A 24809-2025")</f>
        <v/>
      </c>
      <c r="W12">
        <f>HYPERLINK("https://klasma.github.io/Logging_1285/klagomålsmail/A 24809-2025 FSC-klagomål mail.docx", "A 24809-2025")</f>
        <v/>
      </c>
      <c r="X12">
        <f>HYPERLINK("https://klasma.github.io/Logging_1285/tillsyn/A 24809-2025 tillsynsbegäran.docx", "A 24809-2025")</f>
        <v/>
      </c>
      <c r="Y12">
        <f>HYPERLINK("https://klasma.github.io/Logging_1285/tillsynsmail/A 24809-2025 tillsynsbegäran mail.docx", "A 24809-2025")</f>
        <v/>
      </c>
      <c r="Z12">
        <f>HYPERLINK("https://klasma.github.io/Logging_1285/fåglar/A 24809-2025 prioriterade fågelarter.docx", "A 24809-2025")</f>
        <v/>
      </c>
    </row>
    <row r="13" ht="15" customHeight="1">
      <c r="A13" t="inlineStr">
        <is>
          <t>A 27443-2026</t>
        </is>
      </c>
      <c r="B13" s="1" t="n">
        <v>46189</v>
      </c>
      <c r="C13" s="1" t="n">
        <v>46192</v>
      </c>
      <c r="D13" t="inlineStr">
        <is>
          <t>SKÅNE LÄN</t>
        </is>
      </c>
      <c r="E13" t="inlineStr">
        <is>
          <t>ESLÖV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HYPERLINK("https://klasma.github.io/Logging_1285/artfynd/A 27443-2026 artfynd.xlsx", "A 27443-2026")</f>
        <v/>
      </c>
      <c r="T13">
        <f>HYPERLINK("https://klasma.github.io/Logging_1285/kartor/A 27443-2026 karta.png", "A 27443-2026")</f>
        <v/>
      </c>
      <c r="V13">
        <f>HYPERLINK("https://klasma.github.io/Logging_1285/klagomål/A 27443-2026 FSC-klagomål.docx", "A 27443-2026")</f>
        <v/>
      </c>
      <c r="W13">
        <f>HYPERLINK("https://klasma.github.io/Logging_1285/klagomålsmail/A 27443-2026 FSC-klagomål mail.docx", "A 27443-2026")</f>
        <v/>
      </c>
      <c r="X13">
        <f>HYPERLINK("https://klasma.github.io/Logging_1285/tillsyn/A 27443-2026 tillsynsbegäran.docx", "A 27443-2026")</f>
        <v/>
      </c>
      <c r="Y13">
        <f>HYPERLINK("https://klasma.github.io/Logging_1285/tillsynsmail/A 27443-2026 tillsynsbegäran mail.docx", "A 27443-2026")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46192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46192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12605-2025</t>
        </is>
      </c>
      <c r="B16" s="1" t="n">
        <v>45733</v>
      </c>
      <c r="C16" s="1" t="n">
        <v>46192</v>
      </c>
      <c r="D16" t="inlineStr">
        <is>
          <t>SKÅNE LÄN</t>
        </is>
      </c>
      <c r="E16" t="inlineStr">
        <is>
          <t>ESLÖV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34468-2023</t>
        </is>
      </c>
      <c r="B17" s="1" t="n">
        <v>45139</v>
      </c>
      <c r="C17" s="1" t="n">
        <v>46192</v>
      </c>
      <c r="D17" t="inlineStr">
        <is>
          <t>SKÅNE LÄN</t>
        </is>
      </c>
      <c r="E17" t="inlineStr">
        <is>
          <t>ESLÖV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47345-2025</t>
        </is>
      </c>
      <c r="B18" s="1" t="n">
        <v>45930</v>
      </c>
      <c r="C18" s="1" t="n">
        <v>46192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47356-2025</t>
        </is>
      </c>
      <c r="B19" s="1" t="n">
        <v>45930</v>
      </c>
      <c r="C19" s="1" t="n">
        <v>46192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10773-2025</t>
        </is>
      </c>
      <c r="B20" s="1" t="n">
        <v>45722</v>
      </c>
      <c r="C20" s="1" t="n">
        <v>46192</v>
      </c>
      <c r="D20" t="inlineStr">
        <is>
          <t>SKÅNE LÄN</t>
        </is>
      </c>
      <c r="E20" t="inlineStr">
        <is>
          <t>ESLÖV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35996-2025</t>
        </is>
      </c>
      <c r="B21" s="1" t="n">
        <v>45863</v>
      </c>
      <c r="C21" s="1" t="n">
        <v>46192</v>
      </c>
      <c r="D21" t="inlineStr">
        <is>
          <t>SKÅNE LÄN</t>
        </is>
      </c>
      <c r="E21" t="inlineStr">
        <is>
          <t>ESLÖV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35997-2025</t>
        </is>
      </c>
      <c r="B22" s="1" t="n">
        <v>45863</v>
      </c>
      <c r="C22" s="1" t="n">
        <v>46192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46192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10940-2024</t>
        </is>
      </c>
      <c r="B24" s="1" t="n">
        <v>45370</v>
      </c>
      <c r="C24" s="1" t="n">
        <v>46192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11221-2024</t>
        </is>
      </c>
      <c r="B25" s="1" t="n">
        <v>45371</v>
      </c>
      <c r="C25" s="1" t="n">
        <v>46192</v>
      </c>
      <c r="D25" t="inlineStr">
        <is>
          <t>SKÅNE LÄN</t>
        </is>
      </c>
      <c r="E25" t="inlineStr">
        <is>
          <t>ESLÖV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46192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9484-2023</t>
        </is>
      </c>
      <c r="B27" s="1" t="n">
        <v>44981</v>
      </c>
      <c r="C27" s="1" t="n">
        <v>46192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5812-2022</t>
        </is>
      </c>
      <c r="B28" s="1" t="n">
        <v>44596</v>
      </c>
      <c r="C28" s="1" t="n">
        <v>46192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44496-2023</t>
        </is>
      </c>
      <c r="B29" s="1" t="n">
        <v>45189</v>
      </c>
      <c r="C29" s="1" t="n">
        <v>46192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33865-2024</t>
        </is>
      </c>
      <c r="B30" s="1" t="n">
        <v>45520</v>
      </c>
      <c r="C30" s="1" t="n">
        <v>46192</v>
      </c>
      <c r="D30" t="inlineStr">
        <is>
          <t>SKÅNE LÄN</t>
        </is>
      </c>
      <c r="E30" t="inlineStr">
        <is>
          <t>ESLÖV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16670-2025</t>
        </is>
      </c>
      <c r="B31" s="1" t="n">
        <v>45754</v>
      </c>
      <c r="C31" s="1" t="n">
        <v>46192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34466-2023</t>
        </is>
      </c>
      <c r="B32" s="1" t="n">
        <v>45139</v>
      </c>
      <c r="C32" s="1" t="n">
        <v>46192</v>
      </c>
      <c r="D32" t="inlineStr">
        <is>
          <t>SKÅNE LÄN</t>
        </is>
      </c>
      <c r="E32" t="inlineStr">
        <is>
          <t>ESLÖV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47870-2025</t>
        </is>
      </c>
      <c r="B33" s="1" t="n">
        <v>45932</v>
      </c>
      <c r="C33" s="1" t="n">
        <v>46192</v>
      </c>
      <c r="D33" t="inlineStr">
        <is>
          <t>SKÅNE LÄN</t>
        </is>
      </c>
      <c r="E33" t="inlineStr">
        <is>
          <t>ESLÖV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20160-2024</t>
        </is>
      </c>
      <c r="B34" s="1" t="n">
        <v>45434</v>
      </c>
      <c r="C34" s="1" t="n">
        <v>46192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1574-2024</t>
        </is>
      </c>
      <c r="B35" s="1" t="n">
        <v>45306</v>
      </c>
      <c r="C35" s="1" t="n">
        <v>46192</v>
      </c>
      <c r="D35" t="inlineStr">
        <is>
          <t>SKÅNE LÄN</t>
        </is>
      </c>
      <c r="E35" t="inlineStr">
        <is>
          <t>ESLÖV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38173-2023</t>
        </is>
      </c>
      <c r="B36" s="1" t="n">
        <v>45161</v>
      </c>
      <c r="C36" s="1" t="n">
        <v>46192</v>
      </c>
      <c r="D36" t="inlineStr">
        <is>
          <t>SKÅNE LÄN</t>
        </is>
      </c>
      <c r="E36" t="inlineStr">
        <is>
          <t>ESLÖV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2691-2026</t>
        </is>
      </c>
      <c r="B37" s="1" t="n">
        <v>46037</v>
      </c>
      <c r="C37" s="1" t="n">
        <v>46192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15467-2025</t>
        </is>
      </c>
      <c r="B38" s="1" t="n">
        <v>45747</v>
      </c>
      <c r="C38" s="1" t="n">
        <v>46192</v>
      </c>
      <c r="D38" t="inlineStr">
        <is>
          <t>SKÅNE LÄN</t>
        </is>
      </c>
      <c r="E38" t="inlineStr">
        <is>
          <t>ESLÖV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5869-2023</t>
        </is>
      </c>
      <c r="B39" s="1" t="n">
        <v>44958</v>
      </c>
      <c r="C39" s="1" t="n">
        <v>46192</v>
      </c>
      <c r="D39" t="inlineStr">
        <is>
          <t>SKÅNE LÄN</t>
        </is>
      </c>
      <c r="E39" t="inlineStr">
        <is>
          <t>ESLÖV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</v>
      </c>
      <c r="C40" s="1" t="n">
        <v>46192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9686-2023</t>
        </is>
      </c>
      <c r="B41" s="1" t="n">
        <v>44984</v>
      </c>
      <c r="C41" s="1" t="n">
        <v>46192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7016-2025</t>
        </is>
      </c>
      <c r="B42" s="1" t="n">
        <v>45701</v>
      </c>
      <c r="C42" s="1" t="n">
        <v>46192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58721-2025</t>
        </is>
      </c>
      <c r="B43" s="1" t="n">
        <v>45986</v>
      </c>
      <c r="C43" s="1" t="n">
        <v>46192</v>
      </c>
      <c r="D43" t="inlineStr">
        <is>
          <t>SKÅNE LÄN</t>
        </is>
      </c>
      <c r="E43" t="inlineStr">
        <is>
          <t>ESLÖV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25508-2023</t>
        </is>
      </c>
      <c r="B44" s="1" t="n">
        <v>45089</v>
      </c>
      <c r="C44" s="1" t="n">
        <v>46192</v>
      </c>
      <c r="D44" t="inlineStr">
        <is>
          <t>SKÅNE LÄN</t>
        </is>
      </c>
      <c r="E44" t="inlineStr">
        <is>
          <t>ESLÖV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14488-2024</t>
        </is>
      </c>
      <c r="B45" s="1" t="n">
        <v>45394</v>
      </c>
      <c r="C45" s="1" t="n">
        <v>46192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46192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9849-2026</t>
        </is>
      </c>
      <c r="B47" s="1" t="n">
        <v>46072</v>
      </c>
      <c r="C47" s="1" t="n">
        <v>46192</v>
      </c>
      <c r="D47" t="inlineStr">
        <is>
          <t>SKÅNE LÄN</t>
        </is>
      </c>
      <c r="E47" t="inlineStr">
        <is>
          <t>ESLÖV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10111-2026</t>
        </is>
      </c>
      <c r="B48" s="1" t="n">
        <v>46074</v>
      </c>
      <c r="C48" s="1" t="n">
        <v>46192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49137-2024</t>
        </is>
      </c>
      <c r="B49" s="1" t="n">
        <v>45594</v>
      </c>
      <c r="C49" s="1" t="n">
        <v>46192</v>
      </c>
      <c r="D49" t="inlineStr">
        <is>
          <t>SKÅNE LÄN</t>
        </is>
      </c>
      <c r="E49" t="inlineStr">
        <is>
          <t>ESLÖV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32984-2024</t>
        </is>
      </c>
      <c r="B50" s="1" t="n">
        <v>45517</v>
      </c>
      <c r="C50" s="1" t="n">
        <v>46192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14013-2026</t>
        </is>
      </c>
      <c r="B51" s="1" t="n">
        <v>46098</v>
      </c>
      <c r="C51" s="1" t="n">
        <v>46192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25388-2023</t>
        </is>
      </c>
      <c r="B52" s="1" t="n">
        <v>45089</v>
      </c>
      <c r="C52" s="1" t="n">
        <v>46192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14386-2026</t>
        </is>
      </c>
      <c r="B53" s="1" t="n">
        <v>46100</v>
      </c>
      <c r="C53" s="1" t="n">
        <v>46192</v>
      </c>
      <c r="D53" t="inlineStr">
        <is>
          <t>SKÅNE LÄN</t>
        </is>
      </c>
      <c r="E53" t="inlineStr">
        <is>
          <t>ESLÖV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16792-2024</t>
        </is>
      </c>
      <c r="B54" s="1" t="n">
        <v>45411</v>
      </c>
      <c r="C54" s="1" t="n">
        <v>46192</v>
      </c>
      <c r="D54" t="inlineStr">
        <is>
          <t>SKÅNE LÄN</t>
        </is>
      </c>
      <c r="E54" t="inlineStr">
        <is>
          <t>ESLÖV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22134-2026</t>
        </is>
      </c>
      <c r="B55" s="1" t="n">
        <v>46153</v>
      </c>
      <c r="C55" s="1" t="n">
        <v>46192</v>
      </c>
      <c r="D55" t="inlineStr">
        <is>
          <t>SKÅNE LÄN</t>
        </is>
      </c>
      <c r="E55" t="inlineStr">
        <is>
          <t>ESLÖV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12079-2024</t>
        </is>
      </c>
      <c r="B56" s="1" t="n">
        <v>45377</v>
      </c>
      <c r="C56" s="1" t="n">
        <v>46192</v>
      </c>
      <c r="D56" t="inlineStr">
        <is>
          <t>SKÅNE LÄN</t>
        </is>
      </c>
      <c r="E56" t="inlineStr">
        <is>
          <t>ESLÖV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28088-2025</t>
        </is>
      </c>
      <c r="B57" s="1" t="n">
        <v>45817</v>
      </c>
      <c r="C57" s="1" t="n">
        <v>46192</v>
      </c>
      <c r="D57" t="inlineStr">
        <is>
          <t>SKÅNE LÄN</t>
        </is>
      </c>
      <c r="E57" t="inlineStr">
        <is>
          <t>ESLÖV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11204-2023</t>
        </is>
      </c>
      <c r="B58" s="1" t="n">
        <v>44992</v>
      </c>
      <c r="C58" s="1" t="n">
        <v>46192</v>
      </c>
      <c r="D58" t="inlineStr">
        <is>
          <t>SKÅNE LÄN</t>
        </is>
      </c>
      <c r="E58" t="inlineStr">
        <is>
          <t>ESLÖV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18281-2026</t>
        </is>
      </c>
      <c r="B59" s="1" t="n">
        <v>46125</v>
      </c>
      <c r="C59" s="1" t="n">
        <v>46192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9482-2023</t>
        </is>
      </c>
      <c r="B60" s="1" t="n">
        <v>44981</v>
      </c>
      <c r="C60" s="1" t="n">
        <v>46192</v>
      </c>
      <c r="D60" t="inlineStr">
        <is>
          <t>SKÅNE LÄN</t>
        </is>
      </c>
      <c r="E60" t="inlineStr">
        <is>
          <t>ESLÖV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15533-2024</t>
        </is>
      </c>
      <c r="B61" s="1" t="n">
        <v>45401</v>
      </c>
      <c r="C61" s="1" t="n">
        <v>46192</v>
      </c>
      <c r="D61" t="inlineStr">
        <is>
          <t>SKÅNE LÄN</t>
        </is>
      </c>
      <c r="E61" t="inlineStr">
        <is>
          <t>ESLÖV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62496-2023</t>
        </is>
      </c>
      <c r="B62" s="1" t="n">
        <v>45268</v>
      </c>
      <c r="C62" s="1" t="n">
        <v>46192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25385-2023</t>
        </is>
      </c>
      <c r="B63" s="1" t="n">
        <v>45089</v>
      </c>
      <c r="C63" s="1" t="n">
        <v>46192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46192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46192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36761-2022</t>
        </is>
      </c>
      <c r="B66" s="1" t="n">
        <v>44805</v>
      </c>
      <c r="C66" s="1" t="n">
        <v>46192</v>
      </c>
      <c r="D66" t="inlineStr">
        <is>
          <t>SKÅNE LÄN</t>
        </is>
      </c>
      <c r="E66" t="inlineStr">
        <is>
          <t>ESLÖV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25730-2026</t>
        </is>
      </c>
      <c r="B67" s="1" t="n">
        <v>46178</v>
      </c>
      <c r="C67" s="1" t="n">
        <v>46192</v>
      </c>
      <c r="D67" t="inlineStr">
        <is>
          <t>SKÅNE LÄN</t>
        </is>
      </c>
      <c r="E67" t="inlineStr">
        <is>
          <t>ESLÖV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10819-2026</t>
        </is>
      </c>
      <c r="B68" s="1" t="n">
        <v>46078</v>
      </c>
      <c r="C68" s="1" t="n">
        <v>46192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26169-2026</t>
        </is>
      </c>
      <c r="B69" s="1" t="n">
        <v>46181</v>
      </c>
      <c r="C69" s="1" t="n">
        <v>46192</v>
      </c>
      <c r="D69" t="inlineStr">
        <is>
          <t>SKÅNE LÄN</t>
        </is>
      </c>
      <c r="E69" t="inlineStr">
        <is>
          <t>ESLÖV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26497-2026</t>
        </is>
      </c>
      <c r="B70" s="1" t="n">
        <v>46183</v>
      </c>
      <c r="C70" s="1" t="n">
        <v>46192</v>
      </c>
      <c r="D70" t="inlineStr">
        <is>
          <t>SKÅNE LÄN</t>
        </is>
      </c>
      <c r="E70" t="inlineStr">
        <is>
          <t>ESLÖV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26165-2026</t>
        </is>
      </c>
      <c r="B71" s="1" t="n">
        <v>46181</v>
      </c>
      <c r="C71" s="1" t="n">
        <v>46192</v>
      </c>
      <c r="D71" t="inlineStr">
        <is>
          <t>SKÅNE LÄN</t>
        </is>
      </c>
      <c r="E71" t="inlineStr">
        <is>
          <t>ESLÖV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18503-2026</t>
        </is>
      </c>
      <c r="B72" s="1" t="n">
        <v>46127</v>
      </c>
      <c r="C72" s="1" t="n">
        <v>46192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27428-2026</t>
        </is>
      </c>
      <c r="B73" s="1" t="n">
        <v>46189</v>
      </c>
      <c r="C73" s="1" t="n">
        <v>46192</v>
      </c>
      <c r="D73" t="inlineStr">
        <is>
          <t>SKÅNE LÄN</t>
        </is>
      </c>
      <c r="E73" t="inlineStr">
        <is>
          <t>ESLÖV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27435-2026</t>
        </is>
      </c>
      <c r="B74" s="1" t="n">
        <v>46189</v>
      </c>
      <c r="C74" s="1" t="n">
        <v>46192</v>
      </c>
      <c r="D74" t="inlineStr">
        <is>
          <t>SKÅNE LÄN</t>
        </is>
      </c>
      <c r="E74" t="inlineStr">
        <is>
          <t>ESLÖV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27439-2026</t>
        </is>
      </c>
      <c r="B75" s="1" t="n">
        <v>46189</v>
      </c>
      <c r="C75" s="1" t="n">
        <v>46192</v>
      </c>
      <c r="D75" t="inlineStr">
        <is>
          <t>SKÅNE LÄN</t>
        </is>
      </c>
      <c r="E75" t="inlineStr">
        <is>
          <t>ESLÖV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2026-06-19T00:41:48Z</dcterms:created>
  <dcterms:modified xmlns:dcterms="http://purl.org/dc/terms/" xmlns:xsi="http://www.w3.org/2001/XMLSchema-instance" xsi:type="dcterms:W3CDTF">2026-06-19T00:41:48Z</dcterms:modified>
</cp:coreProperties>
</file>