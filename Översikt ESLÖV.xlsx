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14597-2020</t>
        </is>
      </c>
      <c r="B2" s="1" t="n">
        <v>43902</v>
      </c>
      <c r="C2" s="1" t="n">
        <v>45760</v>
      </c>
      <c r="D2" t="inlineStr">
        <is>
          <t>SKÅNE LÄN</t>
        </is>
      </c>
      <c r="E2" t="inlineStr">
        <is>
          <t>ESLÖV</t>
        </is>
      </c>
      <c r="G2" t="n">
        <v>27.2</v>
      </c>
      <c r="H2" t="n">
        <v>8</v>
      </c>
      <c r="I2" t="n">
        <v>0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Grönfink
Duvhök
Entita
Grönsångare
Gulsparv
Spillkråka
Kungsfågel
Trana</t>
        </is>
      </c>
      <c r="S2">
        <f>HYPERLINK("https://klasma.github.io/Logging_1285/artfynd/A 14597-2020 artfynd.xlsx", "A 14597-2020")</f>
        <v/>
      </c>
      <c r="T2">
        <f>HYPERLINK("https://klasma.github.io/Logging_1285/kartor/A 14597-2020 karta.png", "A 14597-2020")</f>
        <v/>
      </c>
      <c r="V2">
        <f>HYPERLINK("https://klasma.github.io/Logging_1285/klagomål/A 14597-2020 FSC-klagomål.docx", "A 14597-2020")</f>
        <v/>
      </c>
      <c r="W2">
        <f>HYPERLINK("https://klasma.github.io/Logging_1285/klagomålsmail/A 14597-2020 FSC-klagomål mail.docx", "A 14597-2020")</f>
        <v/>
      </c>
      <c r="X2">
        <f>HYPERLINK("https://klasma.github.io/Logging_1285/tillsyn/A 14597-2020 tillsynsbegäran.docx", "A 14597-2020")</f>
        <v/>
      </c>
      <c r="Y2">
        <f>HYPERLINK("https://klasma.github.io/Logging_1285/tillsynsmail/A 14597-2020 tillsynsbegäran mail.docx", "A 14597-2020")</f>
        <v/>
      </c>
      <c r="Z2">
        <f>HYPERLINK("https://klasma.github.io/Logging_1285/fåglar/A 14597-2020 prioriterade fågelarter.docx", "A 14597-2020")</f>
        <v/>
      </c>
    </row>
    <row r="3" ht="15" customHeight="1">
      <c r="A3" t="inlineStr">
        <is>
          <t>A 36496-2022</t>
        </is>
      </c>
      <c r="B3" s="1" t="n">
        <v>44803</v>
      </c>
      <c r="C3" s="1" t="n">
        <v>45760</v>
      </c>
      <c r="D3" t="inlineStr">
        <is>
          <t>SKÅNE LÄN</t>
        </is>
      </c>
      <c r="E3" t="inlineStr">
        <is>
          <t>ESLÖV</t>
        </is>
      </c>
      <c r="G3" t="n">
        <v>11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Ancistronycha tigurina
Brunlångöra
Nordfladdermus
Guldlockmossa
Dvärgpipistrell
Gråskimlig fladdermus
Vattenfladdermus</t>
        </is>
      </c>
      <c r="S3">
        <f>HYPERLINK("https://klasma.github.io/Logging_1285/artfynd/A 36496-2022 artfynd.xlsx", "A 36496-2022")</f>
        <v/>
      </c>
      <c r="T3">
        <f>HYPERLINK("https://klasma.github.io/Logging_1285/kartor/A 36496-2022 karta.png", "A 36496-2022")</f>
        <v/>
      </c>
      <c r="V3">
        <f>HYPERLINK("https://klasma.github.io/Logging_1285/klagomål/A 36496-2022 FSC-klagomål.docx", "A 36496-2022")</f>
        <v/>
      </c>
      <c r="W3">
        <f>HYPERLINK("https://klasma.github.io/Logging_1285/klagomålsmail/A 36496-2022 FSC-klagomål mail.docx", "A 36496-2022")</f>
        <v/>
      </c>
      <c r="X3">
        <f>HYPERLINK("https://klasma.github.io/Logging_1285/tillsyn/A 36496-2022 tillsynsbegäran.docx", "A 36496-2022")</f>
        <v/>
      </c>
      <c r="Y3">
        <f>HYPERLINK("https://klasma.github.io/Logging_1285/tillsynsmail/A 36496-2022 tillsynsbegäran mail.docx", "A 36496-2022")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45760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45760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45760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45760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45760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45760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45760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45760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45760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45760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45760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45760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45760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45760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45760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45760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45760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45760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45760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45760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45760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45760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45760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45760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45760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45760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45760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45760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45760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45760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45760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45760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45760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45760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45760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45760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45760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45760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45760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45760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45760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45760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45760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45760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45760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45760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45760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45760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45760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45760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45760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45760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45760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45760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45760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45760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45760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45760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45760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45760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45760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45760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45760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45760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45760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45760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45760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45760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45760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45760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45760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45760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45760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45760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45760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45760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45760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45760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45760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45760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45760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45760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45760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45760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45760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45760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45760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45760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45760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45760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45760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45760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45760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45760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45760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45760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45760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45760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56944-2024</t>
        </is>
      </c>
      <c r="B102" s="1" t="n">
        <v>45628</v>
      </c>
      <c r="C102" s="1" t="n">
        <v>45760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61020-2024</t>
        </is>
      </c>
      <c r="B103" s="1" t="n">
        <v>45645</v>
      </c>
      <c r="C103" s="1" t="n">
        <v>45760</v>
      </c>
      <c r="D103" t="inlineStr">
        <is>
          <t>SKÅNE LÄN</t>
        </is>
      </c>
      <c r="E103" t="inlineStr">
        <is>
          <t>ESLÖV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61035-2024</t>
        </is>
      </c>
      <c r="B104" s="1" t="n">
        <v>45645</v>
      </c>
      <c r="C104" s="1" t="n">
        <v>45760</v>
      </c>
      <c r="D104" t="inlineStr">
        <is>
          <t>SKÅNE LÄN</t>
        </is>
      </c>
      <c r="E104" t="inlineStr">
        <is>
          <t>ESLÖV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3524-2025</t>
        </is>
      </c>
      <c r="B105" s="1" t="n">
        <v>45680</v>
      </c>
      <c r="C105" s="1" t="n">
        <v>45760</v>
      </c>
      <c r="D105" t="inlineStr">
        <is>
          <t>SKÅNE LÄN</t>
        </is>
      </c>
      <c r="E105" t="inlineStr">
        <is>
          <t>ESLÖV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7016-2025</t>
        </is>
      </c>
      <c r="B106" s="1" t="n">
        <v>45701</v>
      </c>
      <c r="C106" s="1" t="n">
        <v>45760</v>
      </c>
      <c r="D106" t="inlineStr">
        <is>
          <t>SKÅNE LÄN</t>
        </is>
      </c>
      <c r="E106" t="inlineStr">
        <is>
          <t>ESLÖV</t>
        </is>
      </c>
      <c r="F106" t="inlineStr">
        <is>
          <t>Sveaskog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7409-2025</t>
        </is>
      </c>
      <c r="B107" s="1" t="n">
        <v>45705</v>
      </c>
      <c r="C107" s="1" t="n">
        <v>45760</v>
      </c>
      <c r="D107" t="inlineStr">
        <is>
          <t>SKÅNE LÄN</t>
        </is>
      </c>
      <c r="E107" t="inlineStr">
        <is>
          <t>ESLÖV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10773-2025</t>
        </is>
      </c>
      <c r="B108" s="1" t="n">
        <v>45722</v>
      </c>
      <c r="C108" s="1" t="n">
        <v>45760</v>
      </c>
      <c r="D108" t="inlineStr">
        <is>
          <t>SKÅNE LÄN</t>
        </is>
      </c>
      <c r="E108" t="inlineStr">
        <is>
          <t>ESLÖV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11732-2025</t>
        </is>
      </c>
      <c r="B109" s="1" t="n">
        <v>45727</v>
      </c>
      <c r="C109" s="1" t="n">
        <v>45760</v>
      </c>
      <c r="D109" t="inlineStr">
        <is>
          <t>SKÅNE LÄN</t>
        </is>
      </c>
      <c r="E109" t="inlineStr">
        <is>
          <t>ESLÖV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12605-2025</t>
        </is>
      </c>
      <c r="B110" s="1" t="n">
        <v>45733</v>
      </c>
      <c r="C110" s="1" t="n">
        <v>45760</v>
      </c>
      <c r="D110" t="inlineStr">
        <is>
          <t>SKÅNE LÄN</t>
        </is>
      </c>
      <c r="E110" t="inlineStr">
        <is>
          <t>ESLÖV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15467-2025</t>
        </is>
      </c>
      <c r="B111" s="1" t="n">
        <v>45747</v>
      </c>
      <c r="C111" s="1" t="n">
        <v>45760</v>
      </c>
      <c r="D111" t="inlineStr">
        <is>
          <t>SKÅNE LÄN</t>
        </is>
      </c>
      <c r="E111" t="inlineStr">
        <is>
          <t>ESLÖV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16670-2025</t>
        </is>
      </c>
      <c r="B112" s="1" t="n">
        <v>45754</v>
      </c>
      <c r="C112" s="1" t="n">
        <v>45760</v>
      </c>
      <c r="D112" t="inlineStr">
        <is>
          <t>SKÅNE LÄN</t>
        </is>
      </c>
      <c r="E112" t="inlineStr">
        <is>
          <t>ESLÖV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2025-04-13T17:05:01Z</dcterms:created>
  <dcterms:modified xmlns:dcterms="http://purl.org/dc/terms/" xmlns:xsi="http://www.w3.org/2001/XMLSchema-instance" xsi:type="dcterms:W3CDTF">2025-04-13T17:05:02Z</dcterms:modified>
</cp:coreProperties>
</file>