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46256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46256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46256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46256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46256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27443-2026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46189</v>
      </c>
      <c r="E13" s="1" t="n">
        <v>46256</v>
      </c>
      <c r="F13" t="inlineStr">
        <is>
          <t>SKÅNE LÄN</t>
        </is>
      </c>
      <c r="G13" t="inlineStr">
        <is>
          <t>ESLÖV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HYPERLINK("https://klasma.github.io/Logging_1285/artfynd/A 27443-2026 artfynd.xlsx", "A 27443-2026")</f>
        <v/>
      </c>
      <c r="X13">
        <f>HYPERLINK("https://klasma.github.io/Logging_1285/kartor/A 27443-2026 karta.png", "A 27443-2026")</f>
        <v/>
      </c>
      <c r="Y13">
        <f>HYPERLINK("https://klasma.github.io/Logging_1285/kartor_geotiff/A 27443-2026 georefererad karta.tif", "A 27443-2026")</f>
        <v/>
      </c>
      <c r="AA13">
        <f>HYPERLINK("https://klasma.github.io/Logging_1285/klagomål/A 27443-2026 FSC-klagomål.docx", "A 27443-2026")</f>
        <v/>
      </c>
      <c r="AB13">
        <f>HYPERLINK("https://klasma.github.io/Logging_1285/klagomålsmail/A 27443-2026 FSC-klagomål mail.docx", "A 27443-2026")</f>
        <v/>
      </c>
      <c r="AC13">
        <f>HYPERLINK("https://klasma.github.io/Logging_1285/tillsyn/A 27443-2026 tillsynsbegäran.docx", "A 27443-2026")</f>
        <v/>
      </c>
      <c r="AD13">
        <f>HYPERLINK("https://klasma.github.io/Logging_1285/tillsynsmail/A 27443-2026 tillsynsbegäran mail.docx", "A 27443-2026")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46256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46256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52652-2023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46256</v>
      </c>
      <c r="F16" t="inlineStr">
        <is>
          <t>SKÅNE LÄN</t>
        </is>
      </c>
      <c r="G16" t="inlineStr">
        <is>
          <t>ESLÖV</t>
        </is>
      </c>
      <c r="I16" t="n">
        <v>2.9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Grönfläckig padda</t>
        </is>
      </c>
      <c r="W16">
        <f>HYPERLINK("https://klasma.github.io/Logging_1285/artfynd/A 52652-2023 artfynd.xlsx", "A 52652-2023")</f>
        <v/>
      </c>
      <c r="X16">
        <f>HYPERLINK("https://klasma.github.io/Logging_1285/kartor/A 52652-2023 karta.png", "A 52652-2023")</f>
        <v/>
      </c>
      <c r="Y16">
        <f>HYPERLINK("https://klasma.github.io/Logging_1285/kartor_geotiff/A 52652-2023 georefererad karta.tif", "A 52652-2023")</f>
        <v/>
      </c>
      <c r="AA16">
        <f>HYPERLINK("https://klasma.github.io/Logging_1285/klagomål/A 52652-2023 FSC-klagomål.docx", "A 52652-2023")</f>
        <v/>
      </c>
      <c r="AB16">
        <f>HYPERLINK("https://klasma.github.io/Logging_1285/klagomålsmail/A 52652-2023 FSC-klagomål mail.docx", "A 52652-2023")</f>
        <v/>
      </c>
      <c r="AC16">
        <f>HYPERLINK("https://klasma.github.io/Logging_1285/tillsyn/A 52652-2023 tillsynsbegäran.docx", "A 52652-2023")</f>
        <v/>
      </c>
      <c r="AD16">
        <f>HYPERLINK("https://klasma.github.io/Logging_1285/tillsynsmail/A 52652-2023 tillsynsbegäran mail.docx", "A 52652-2023")</f>
        <v/>
      </c>
    </row>
    <row r="17" ht="15" customHeight="1">
      <c r="A17" t="inlineStr">
        <is>
          <t>A 18713-2024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45426</v>
      </c>
      <c r="E17" s="1" t="n">
        <v>46256</v>
      </c>
      <c r="F17" t="inlineStr">
        <is>
          <t>SKÅNE LÄN</t>
        </is>
      </c>
      <c r="G17" t="inlineStr">
        <is>
          <t>ESLÖV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Gråtrut</t>
        </is>
      </c>
      <c r="W17">
        <f>HYPERLINK("https://klasma.github.io/Logging_1285/artfynd/A 18713-2024 artfynd.xlsx", "A 18713-2024")</f>
        <v/>
      </c>
      <c r="X17">
        <f>HYPERLINK("https://klasma.github.io/Logging_1285/kartor/A 18713-2024 karta.png", "A 18713-2024")</f>
        <v/>
      </c>
      <c r="Y17">
        <f>HYPERLINK("https://klasma.github.io/Logging_1285/kartor_geotiff/A 18713-2024 georefererad karta.tif", "A 18713-2024")</f>
        <v/>
      </c>
      <c r="AA17">
        <f>HYPERLINK("https://klasma.github.io/Logging_1285/klagomål/A 18713-2024 FSC-klagomål.docx", "A 18713-2024")</f>
        <v/>
      </c>
      <c r="AB17">
        <f>HYPERLINK("https://klasma.github.io/Logging_1285/klagomålsmail/A 18713-2024 FSC-klagomål mail.docx", "A 18713-2024")</f>
        <v/>
      </c>
      <c r="AC17">
        <f>HYPERLINK("https://klasma.github.io/Logging_1285/tillsyn/A 18713-2024 tillsynsbegäran.docx", "A 18713-2024")</f>
        <v/>
      </c>
      <c r="AD17">
        <f>HYPERLINK("https://klasma.github.io/Logging_1285/tillsynsmail/A 18713-2024 tillsynsbegäran mail.docx", "A 18713-2024")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46256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46256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5869-2023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44958</v>
      </c>
      <c r="E20" s="1" t="n">
        <v>46256</v>
      </c>
      <c r="F20" t="inlineStr">
        <is>
          <t>SKÅNE LÄN</t>
        </is>
      </c>
      <c r="G20" t="inlineStr">
        <is>
          <t>ESLÖV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46256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46256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46256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46256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28088-2025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45817</v>
      </c>
      <c r="E25" s="1" t="n">
        <v>46256</v>
      </c>
      <c r="F25" t="inlineStr">
        <is>
          <t>SKÅNE LÄN</t>
        </is>
      </c>
      <c r="G25" t="inlineStr">
        <is>
          <t>ESLÖV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24115-2022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44725</v>
      </c>
      <c r="E26" s="1" t="n">
        <v>46256</v>
      </c>
      <c r="F26" t="inlineStr">
        <is>
          <t>SKÅNE LÄN</t>
        </is>
      </c>
      <c r="G26" t="inlineStr">
        <is>
          <t>ESLÖV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46256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46256</v>
      </c>
      <c r="F28" t="inlineStr">
        <is>
          <t>SKÅNE LÄN</t>
        </is>
      </c>
      <c r="G28" t="inlineStr">
        <is>
          <t>ESLÖV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46256</v>
      </c>
      <c r="F29" t="inlineStr">
        <is>
          <t>SKÅNE LÄN</t>
        </is>
      </c>
      <c r="G29" t="inlineStr">
        <is>
          <t>ESLÖV</t>
        </is>
      </c>
      <c r="I29" t="n">
        <v>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11204-2023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46256</v>
      </c>
      <c r="F30" t="inlineStr">
        <is>
          <t>SKÅNE LÄN</t>
        </is>
      </c>
      <c r="G30" t="inlineStr">
        <is>
          <t>ESLÖV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46256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46256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46256</v>
      </c>
      <c r="F33" t="inlineStr">
        <is>
          <t>SKÅNE LÄN</t>
        </is>
      </c>
      <c r="G33" t="inlineStr">
        <is>
          <t>ESLÖV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46256</v>
      </c>
      <c r="F34" t="inlineStr">
        <is>
          <t>SKÅNE LÄN</t>
        </is>
      </c>
      <c r="G34" t="inlineStr">
        <is>
          <t>ESLÖV</t>
        </is>
      </c>
      <c r="I34" t="n">
        <v>7.5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46256</v>
      </c>
      <c r="F35" t="inlineStr">
        <is>
          <t>SKÅNE LÄN</t>
        </is>
      </c>
      <c r="G35" t="inlineStr">
        <is>
          <t>ESLÖV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46256</v>
      </c>
      <c r="F36" t="inlineStr">
        <is>
          <t>SKÅNE LÄN</t>
        </is>
      </c>
      <c r="G36" t="inlineStr">
        <is>
          <t>ESLÖV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46256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46256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45138</v>
      </c>
      <c r="E39" s="1" t="n">
        <v>46256</v>
      </c>
      <c r="F39" t="inlineStr">
        <is>
          <t>SKÅNE LÄN</t>
        </is>
      </c>
      <c r="G39" t="inlineStr">
        <is>
          <t>ESLÖV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15357-2023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45019</v>
      </c>
      <c r="E40" s="1" t="n">
        <v>46256</v>
      </c>
      <c r="F40" t="inlineStr">
        <is>
          <t>SKÅNE LÄN</t>
        </is>
      </c>
      <c r="G40" t="inlineStr">
        <is>
          <t>ESLÖV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46256</v>
      </c>
      <c r="F41" t="inlineStr">
        <is>
          <t>SKÅNE LÄN</t>
        </is>
      </c>
      <c r="G41" t="inlineStr">
        <is>
          <t>ESLÖV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46256</v>
      </c>
      <c r="F42" t="inlineStr">
        <is>
          <t>SKÅNE LÄN</t>
        </is>
      </c>
      <c r="G42" t="inlineStr">
        <is>
          <t>ESLÖV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46256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46256</v>
      </c>
      <c r="F44" t="inlineStr">
        <is>
          <t>SKÅNE LÄN</t>
        </is>
      </c>
      <c r="G44" t="inlineStr">
        <is>
          <t>ESLÖV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46256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46256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46256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9849-2026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46072</v>
      </c>
      <c r="E48" s="1" t="n">
        <v>46256</v>
      </c>
      <c r="F48" t="inlineStr">
        <is>
          <t>SKÅNE LÄN</t>
        </is>
      </c>
      <c r="G48" t="inlineStr">
        <is>
          <t>ESLÖV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46256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46256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46256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46256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46256</v>
      </c>
      <c r="F53" t="inlineStr">
        <is>
          <t>SKÅNE LÄN</t>
        </is>
      </c>
      <c r="G53" t="inlineStr">
        <is>
          <t>ESLÖV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46256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46256</v>
      </c>
      <c r="F55" t="inlineStr">
        <is>
          <t>SKÅNE LÄN</t>
        </is>
      </c>
      <c r="G55" t="inlineStr">
        <is>
          <t>ESLÖV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46256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18281-2026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46125</v>
      </c>
      <c r="E57" s="1" t="n">
        <v>46256</v>
      </c>
      <c r="F57" t="inlineStr">
        <is>
          <t>SKÅNE LÄN</t>
        </is>
      </c>
      <c r="G57" t="inlineStr">
        <is>
          <t>ESLÖV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46256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46256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46256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46256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46256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46256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46256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46256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46256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46256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46256</v>
      </c>
      <c r="F68" t="inlineStr">
        <is>
          <t>SKÅNE LÄN</t>
        </is>
      </c>
      <c r="G68" t="inlineStr">
        <is>
          <t>ESLÖV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46256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18503-2026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46256</v>
      </c>
      <c r="F70" t="inlineStr">
        <is>
          <t>SKÅNE LÄN</t>
        </is>
      </c>
      <c r="G70" t="inlineStr">
        <is>
          <t>ESLÖV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46256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2026-08-22T01:49:41Z</dcterms:created>
  <dcterms:modified xmlns:dcterms="http://purl.org/dc/terms/" xmlns:xsi="http://www.w3.org/2001/XMLSchema-instance" xsi:type="dcterms:W3CDTF">2026-08-22T01:49:41Z</dcterms:modified>
</cp:coreProperties>
</file>