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46226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46226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46226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27443-2026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46226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HYPERLINK("https://klasma.github.io/Logging_1285/artfynd/A 27443-2026 artfynd.xlsx", "A 27443-2026")</f>
        <v/>
      </c>
      <c r="X10">
        <f>HYPERLINK("https://klasma.github.io/Logging_1285/kartor/A 27443-2026 karta.png", "A 27443-2026")</f>
        <v/>
      </c>
      <c r="Y10">
        <f>HYPERLINK("https://klasma.github.io/Logging_1285/kartor_geotiff/A 27443-2026 georefererad karta.tif", "A 27443-2026")</f>
        <v/>
      </c>
      <c r="AA10">
        <f>HYPERLINK("https://klasma.github.io/Logging_1285/klagomål/A 27443-2026 FSC-klagomål.docx", "A 27443-2026")</f>
        <v/>
      </c>
      <c r="AB10">
        <f>HYPERLINK("https://klasma.github.io/Logging_1285/klagomålsmail/A 27443-2026 FSC-klagomål mail.docx", "A 27443-2026")</f>
        <v/>
      </c>
      <c r="AC10">
        <f>HYPERLINK("https://klasma.github.io/Logging_1285/tillsyn/A 27443-2026 tillsynsbegäran.docx", "A 27443-2026")</f>
        <v/>
      </c>
      <c r="AD10">
        <f>HYPERLINK("https://klasma.github.io/Logging_1285/tillsynsmail/A 27443-2026 tillsynsbegäran mail.docx", "A 27443-2026")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46226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46226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46226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46226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46226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46226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46226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45030</v>
      </c>
      <c r="E18" s="1" t="n">
        <v>46226</v>
      </c>
      <c r="F18" t="inlineStr">
        <is>
          <t>SKÅNE LÄN</t>
        </is>
      </c>
      <c r="G18" t="inlineStr">
        <is>
          <t>ESLÖV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28088-2025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46226</v>
      </c>
      <c r="F19" t="inlineStr">
        <is>
          <t>SKÅNE LÄN</t>
        </is>
      </c>
      <c r="G19" t="inlineStr">
        <is>
          <t>ESLÖV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9849-2026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46226</v>
      </c>
      <c r="F20" t="inlineStr">
        <is>
          <t>SKÅNE LÄN</t>
        </is>
      </c>
      <c r="G20" t="inlineStr">
        <is>
          <t>ESLÖV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10111-2026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46074</v>
      </c>
      <c r="E21" s="1" t="n">
        <v>46226</v>
      </c>
      <c r="F21" t="inlineStr">
        <is>
          <t>SKÅNE LÄN</t>
        </is>
      </c>
      <c r="G21" t="inlineStr">
        <is>
          <t>ESLÖV</t>
        </is>
      </c>
      <c r="I21" t="n">
        <v>5.5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46226</v>
      </c>
      <c r="F22" t="inlineStr">
        <is>
          <t>SKÅNE LÄN</t>
        </is>
      </c>
      <c r="G22" t="inlineStr">
        <is>
          <t>ESLÖV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14013-2026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46098</v>
      </c>
      <c r="E23" s="1" t="n">
        <v>46226</v>
      </c>
      <c r="F23" t="inlineStr">
        <is>
          <t>SKÅNE LÄN</t>
        </is>
      </c>
      <c r="G23" t="inlineStr">
        <is>
          <t>ESLÖV</t>
        </is>
      </c>
      <c r="H23" t="inlineStr">
        <is>
          <t>Sveaskog</t>
        </is>
      </c>
      <c r="I23" t="n">
        <v>8.800000000000001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14386-2026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46226</v>
      </c>
      <c r="F24" t="inlineStr">
        <is>
          <t>SKÅNE LÄN</t>
        </is>
      </c>
      <c r="G24" t="inlineStr">
        <is>
          <t>ESLÖV</t>
        </is>
      </c>
      <c r="I24" t="n">
        <v>12.4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47356-2025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46226</v>
      </c>
      <c r="F25" t="inlineStr">
        <is>
          <t>SKÅNE LÄN</t>
        </is>
      </c>
      <c r="G25" t="inlineStr">
        <is>
          <t>ESLÖV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15467-2025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45747</v>
      </c>
      <c r="E26" s="1" t="n">
        <v>46226</v>
      </c>
      <c r="F26" t="inlineStr">
        <is>
          <t>SKÅNE LÄN</t>
        </is>
      </c>
      <c r="G26" t="inlineStr">
        <is>
          <t>ESLÖV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5869-2023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44958</v>
      </c>
      <c r="E27" s="1" t="n">
        <v>46226</v>
      </c>
      <c r="F27" t="inlineStr">
        <is>
          <t>SKÅNE LÄN</t>
        </is>
      </c>
      <c r="G27" t="inlineStr">
        <is>
          <t>ESLÖV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18281-2026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46125</v>
      </c>
      <c r="E28" s="1" t="n">
        <v>46226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46226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46226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46226</v>
      </c>
      <c r="F31" t="inlineStr">
        <is>
          <t>SKÅNE LÄN</t>
        </is>
      </c>
      <c r="G31" t="inlineStr">
        <is>
          <t>ESLÖV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46226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46226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46226</v>
      </c>
      <c r="F34" t="inlineStr">
        <is>
          <t>SKÅNE LÄN</t>
        </is>
      </c>
      <c r="G34" t="inlineStr">
        <is>
          <t>ESLÖV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46226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27428-2026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46189</v>
      </c>
      <c r="E36" s="1" t="n">
        <v>46226</v>
      </c>
      <c r="F36" t="inlineStr">
        <is>
          <t>SKÅNE LÄN</t>
        </is>
      </c>
      <c r="G36" t="inlineStr">
        <is>
          <t>ESLÖV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27435-2026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46189</v>
      </c>
      <c r="E37" s="1" t="n">
        <v>46226</v>
      </c>
      <c r="F37" t="inlineStr">
        <is>
          <t>SKÅNE LÄN</t>
        </is>
      </c>
      <c r="G37" t="inlineStr">
        <is>
          <t>ESLÖV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27439-2026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46189</v>
      </c>
      <c r="E38" s="1" t="n">
        <v>46226</v>
      </c>
      <c r="F38" t="inlineStr">
        <is>
          <t>SKÅNE LÄN</t>
        </is>
      </c>
      <c r="G38" t="inlineStr">
        <is>
          <t>ESLÖV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46226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45377</v>
      </c>
      <c r="E40" s="1" t="n">
        <v>46226</v>
      </c>
      <c r="F40" t="inlineStr">
        <is>
          <t>SKÅNE LÄN</t>
        </is>
      </c>
      <c r="G40" t="inlineStr">
        <is>
          <t>ESLÖV</t>
        </is>
      </c>
      <c r="I40" t="n">
        <v>6.9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22134-2026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46153</v>
      </c>
      <c r="E41" s="1" t="n">
        <v>46226</v>
      </c>
      <c r="F41" t="inlineStr">
        <is>
          <t>SKÅNE LÄN</t>
        </is>
      </c>
      <c r="G41" t="inlineStr">
        <is>
          <t>ESLÖV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44992</v>
      </c>
      <c r="E42" s="1" t="n">
        <v>46226</v>
      </c>
      <c r="F42" t="inlineStr">
        <is>
          <t>SKÅNE LÄN</t>
        </is>
      </c>
      <c r="G42" t="inlineStr">
        <is>
          <t>ESLÖV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58721-2025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46226</v>
      </c>
      <c r="F43" t="inlineStr">
        <is>
          <t>SKÅNE LÄN</t>
        </is>
      </c>
      <c r="G43" t="inlineStr">
        <is>
          <t>ESLÖV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44981</v>
      </c>
      <c r="E44" s="1" t="n">
        <v>46226</v>
      </c>
      <c r="F44" t="inlineStr">
        <is>
          <t>SKÅNE LÄN</t>
        </is>
      </c>
      <c r="G44" t="inlineStr">
        <is>
          <t>ESLÖV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15533-2024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46226</v>
      </c>
      <c r="F45" t="inlineStr">
        <is>
          <t>SKÅNE LÄN</t>
        </is>
      </c>
      <c r="G45" t="inlineStr">
        <is>
          <t>ESLÖV</t>
        </is>
      </c>
      <c r="I45" t="n">
        <v>7.5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18503-2026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46127</v>
      </c>
      <c r="E46" s="1" t="n">
        <v>46226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62496-2023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46226</v>
      </c>
      <c r="F47" t="inlineStr">
        <is>
          <t>SKÅNE LÄN</t>
        </is>
      </c>
      <c r="G47" t="inlineStr">
        <is>
          <t>ESLÖV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46226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25385-2023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45089</v>
      </c>
      <c r="E49" s="1" t="n">
        <v>46226</v>
      </c>
      <c r="F49" t="inlineStr">
        <is>
          <t>SKÅNE LÄN</t>
        </is>
      </c>
      <c r="G49" t="inlineStr">
        <is>
          <t>ESLÖV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46226</v>
      </c>
      <c r="F50" t="inlineStr">
        <is>
          <t>SKÅNE LÄN</t>
        </is>
      </c>
      <c r="G50" t="inlineStr">
        <is>
          <t>ESLÖV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45138</v>
      </c>
      <c r="E51" s="1" t="n">
        <v>46226</v>
      </c>
      <c r="F51" t="inlineStr">
        <is>
          <t>SKÅNE LÄN</t>
        </is>
      </c>
      <c r="G51" t="inlineStr">
        <is>
          <t>ESLÖV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15357-2023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46226</v>
      </c>
      <c r="F52" t="inlineStr">
        <is>
          <t>SKÅNE LÄN</t>
        </is>
      </c>
      <c r="G52" t="inlineStr">
        <is>
          <t>ESLÖV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46226</v>
      </c>
      <c r="F53" t="inlineStr">
        <is>
          <t>SKÅNE LÄN</t>
        </is>
      </c>
      <c r="G53" t="inlineStr">
        <is>
          <t>ESLÖV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46178</v>
      </c>
      <c r="E54" s="1" t="n">
        <v>46226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46226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46226</v>
      </c>
      <c r="F56" t="inlineStr">
        <is>
          <t>SKÅNE LÄN</t>
        </is>
      </c>
      <c r="G56" t="inlineStr">
        <is>
          <t>ESLÖV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46183</v>
      </c>
      <c r="E57" s="1" t="n">
        <v>46226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45139</v>
      </c>
      <c r="E58" s="1" t="n">
        <v>46226</v>
      </c>
      <c r="F58" t="inlineStr">
        <is>
          <t>SKÅNE LÄN</t>
        </is>
      </c>
      <c r="G58" t="inlineStr">
        <is>
          <t>ESLÖV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46226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46226</v>
      </c>
      <c r="F60" t="inlineStr">
        <is>
          <t>SKÅNE LÄN</t>
        </is>
      </c>
      <c r="G60" t="inlineStr">
        <is>
          <t>ESLÖV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45571</v>
      </c>
      <c r="E61" s="1" t="n">
        <v>46226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46226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46226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46226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46226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46226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46226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46226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46226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46226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16792-2024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46226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2026-07-23T01:42:45Z</dcterms:created>
  <dcterms:modified xmlns:dcterms="http://purl.org/dc/terms/" xmlns:xsi="http://www.w3.org/2001/XMLSchema-instance" xsi:type="dcterms:W3CDTF">2026-07-23T01:42:45Z</dcterms:modified>
</cp:coreProperties>
</file>