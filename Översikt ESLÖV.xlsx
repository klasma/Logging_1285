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46297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46297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46297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46297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46297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46297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46297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46297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46297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18713-2024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46297</v>
      </c>
      <c r="F11" t="inlineStr">
        <is>
          <t>SKÅNE LÄN</t>
        </is>
      </c>
      <c r="G11" t="inlineStr">
        <is>
          <t>ESLÖV</t>
        </is>
      </c>
      <c r="I11" t="n">
        <v>4.1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Gråtrut</t>
        </is>
      </c>
      <c r="W11">
        <f>HYPERLINK("https://klasma.github.io/Logging_1285/artfynd/A 18713-2024 artfynd.xlsx", "A 18713-2024")</f>
        <v/>
      </c>
      <c r="X11">
        <f>HYPERLINK("https://klasma.github.io/Logging_1285/kartor/A 18713-2024 karta.png", "A 18713-2024")</f>
        <v/>
      </c>
      <c r="Y11">
        <f>HYPERLINK("https://klasma.github.io/Logging_1285/kartor_geotiff/A 18713-2024 georefererad karta.tif", "A 18713-2024")</f>
        <v/>
      </c>
      <c r="AA11">
        <f>HYPERLINK("https://klasma.github.io/Logging_1285/klagomål/A 18713-2024 FSC-klagomål.docx", "A 18713-2024")</f>
        <v/>
      </c>
      <c r="AB11">
        <f>HYPERLINK("https://klasma.github.io/Logging_1285/klagomålsmail/A 18713-2024 FSC-klagomål mail.docx", "A 18713-2024")</f>
        <v/>
      </c>
      <c r="AC11">
        <f>HYPERLINK("https://klasma.github.io/Logging_1285/tillsyn/A 18713-2024 tillsynsbegäran.docx", "A 18713-2024")</f>
        <v/>
      </c>
      <c r="AD11">
        <f>HYPERLINK("https://klasma.github.io/Logging_1285/tillsynsmail/A 18713-2024 tillsynsbegäran mail.docx", "A 18713-2024")</f>
        <v/>
      </c>
    </row>
    <row r="12" ht="15" customHeight="1">
      <c r="A12" t="inlineStr">
        <is>
          <t>A 24809-2025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46297</v>
      </c>
      <c r="F12" t="inlineStr">
        <is>
          <t>SKÅNE LÄN</t>
        </is>
      </c>
      <c r="G12" t="inlineStr">
        <is>
          <t>ESLÖV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Spillkråka</t>
        </is>
      </c>
      <c r="W12">
        <f>HYPERLINK("https://klasma.github.io/Logging_1285/artfynd/A 24809-2025 artfynd.xlsx", "A 24809-2025")</f>
        <v/>
      </c>
      <c r="X12">
        <f>HYPERLINK("https://klasma.github.io/Logging_1285/kartor/A 24809-2025 karta.png", "A 24809-2025")</f>
        <v/>
      </c>
      <c r="Y12">
        <f>HYPERLINK("https://klasma.github.io/Logging_1285/kartor_geotiff/A 24809-2025 georefererad karta.tif", "A 24809-2025")</f>
        <v/>
      </c>
      <c r="AA12">
        <f>HYPERLINK("https://klasma.github.io/Logging_1285/klagomål/A 24809-2025 FSC-klagomål.docx", "A 24809-2025")</f>
        <v/>
      </c>
      <c r="AB12">
        <f>HYPERLINK("https://klasma.github.io/Logging_1285/klagomålsmail/A 24809-2025 FSC-klagomål mail.docx", "A 24809-2025")</f>
        <v/>
      </c>
      <c r="AC12">
        <f>HYPERLINK("https://klasma.github.io/Logging_1285/tillsyn/A 24809-2025 tillsynsbegäran.docx", "A 24809-2025")</f>
        <v/>
      </c>
      <c r="AD12">
        <f>HYPERLINK("https://klasma.github.io/Logging_1285/tillsynsmail/A 24809-2025 tillsynsbegäran mail.docx", "A 24809-2025")</f>
        <v/>
      </c>
      <c r="AE12">
        <f>HYPERLINK("https://klasma.github.io/Logging_1285/fåglar/A 24809-2025 prioriterade fågelarter.docx", "A 24809-2025")</f>
        <v/>
      </c>
    </row>
    <row r="13" ht="15" customHeight="1">
      <c r="A13" t="inlineStr">
        <is>
          <t>A 14013-2026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46297</v>
      </c>
      <c r="F13" t="inlineStr">
        <is>
          <t>SKÅNE LÄN</t>
        </is>
      </c>
      <c r="G13" t="inlineStr">
        <is>
          <t>ESLÖV</t>
        </is>
      </c>
      <c r="H13" t="inlineStr">
        <is>
          <t>Sveaskog</t>
        </is>
      </c>
      <c r="I13" t="n">
        <v>8.800000000000001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Törnskata</t>
        </is>
      </c>
      <c r="W13">
        <f>HYPERLINK("https://klasma.github.io/Logging_1285/artfynd/A 14013-2026 artfynd.xlsx", "A 14013-2026")</f>
        <v/>
      </c>
      <c r="X13">
        <f>HYPERLINK("https://klasma.github.io/Logging_1285/kartor/A 14013-2026 karta.png", "A 14013-2026")</f>
        <v/>
      </c>
      <c r="Y13">
        <f>HYPERLINK("https://klasma.github.io/Logging_1285/kartor_geotiff/A 14013-2026 georefererad karta.tif", "A 14013-2026")</f>
        <v/>
      </c>
      <c r="AA13">
        <f>HYPERLINK("https://klasma.github.io/Logging_1285/klagomål/A 14013-2026 FSC-klagomål.docx", "A 14013-2026")</f>
        <v/>
      </c>
      <c r="AB13">
        <f>HYPERLINK("https://klasma.github.io/Logging_1285/klagomålsmail/A 14013-2026 FSC-klagomål mail.docx", "A 14013-2026")</f>
        <v/>
      </c>
      <c r="AC13">
        <f>HYPERLINK("https://klasma.github.io/Logging_1285/tillsyn/A 14013-2026 tillsynsbegäran.docx", "A 14013-2026")</f>
        <v/>
      </c>
      <c r="AD13">
        <f>HYPERLINK("https://klasma.github.io/Logging_1285/tillsynsmail/A 14013-2026 tillsynsbegäran mail.docx", "A 14013-2026")</f>
        <v/>
      </c>
      <c r="AE13">
        <f>HYPERLINK("https://klasma.github.io/Logging_1285/fåglar/A 14013-2026 prioriterade fågelarter.docx", "A 14013-2026")</f>
        <v/>
      </c>
    </row>
    <row r="14" ht="15" customHeight="1">
      <c r="A14" t="inlineStr">
        <is>
          <t>A 61035-2024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46297</v>
      </c>
      <c r="F14" t="inlineStr">
        <is>
          <t>SKÅNE LÄN</t>
        </is>
      </c>
      <c r="G14" t="inlineStr">
        <is>
          <t>ESLÖV</t>
        </is>
      </c>
      <c r="I14" t="n">
        <v>7.6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Gullpudra</t>
        </is>
      </c>
      <c r="W14">
        <f>HYPERLINK("https://klasma.github.io/Logging_1285/artfynd/A 61035-2024 artfynd.xlsx", "A 61035-2024")</f>
        <v/>
      </c>
      <c r="X14">
        <f>HYPERLINK("https://klasma.github.io/Logging_1285/kartor/A 61035-2024 karta.png", "A 61035-2024")</f>
        <v/>
      </c>
      <c r="Y14">
        <f>HYPERLINK("https://klasma.github.io/Logging_1285/kartor_geotiff/A 61035-2024 georefererad karta.tif", "A 61035-2024")</f>
        <v/>
      </c>
      <c r="AA14">
        <f>HYPERLINK("https://klasma.github.io/Logging_1285/klagomål/A 61035-2024 FSC-klagomål.docx", "A 61035-2024")</f>
        <v/>
      </c>
      <c r="AB14">
        <f>HYPERLINK("https://klasma.github.io/Logging_1285/klagomålsmail/A 61035-2024 FSC-klagomål mail.docx", "A 61035-2024")</f>
        <v/>
      </c>
      <c r="AC14">
        <f>HYPERLINK("https://klasma.github.io/Logging_1285/tillsyn/A 61035-2024 tillsynsbegäran.docx", "A 61035-2024")</f>
        <v/>
      </c>
      <c r="AD14">
        <f>HYPERLINK("https://klasma.github.io/Logging_1285/tillsynsmail/A 61035-2024 tillsynsbegäran mail.docx", "A 61035-2024")</f>
        <v/>
      </c>
    </row>
    <row r="15" ht="15" customHeight="1">
      <c r="A15" t="inlineStr">
        <is>
          <t>A 1510-2024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46297</v>
      </c>
      <c r="F15" t="inlineStr">
        <is>
          <t>SKÅNE LÄN</t>
        </is>
      </c>
      <c r="G15" t="inlineStr">
        <is>
          <t>ESLÖV</t>
        </is>
      </c>
      <c r="I15" t="n">
        <v>3.7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stork</t>
        </is>
      </c>
      <c r="W15">
        <f>HYPERLINK("https://klasma.github.io/Logging_1285/artfynd/A 1510-2024 artfynd.xlsx", "A 1510-2024")</f>
        <v/>
      </c>
      <c r="X15">
        <f>HYPERLINK("https://klasma.github.io/Logging_1285/kartor/A 1510-2024 karta.png", "A 1510-2024")</f>
        <v/>
      </c>
      <c r="Y15">
        <f>HYPERLINK("https://klasma.github.io/Logging_1285/kartor_geotiff/A 1510-2024 georefererad karta.tif", "A 1510-2024")</f>
        <v/>
      </c>
      <c r="AA15">
        <f>HYPERLINK("https://klasma.github.io/Logging_1285/klagomål/A 1510-2024 FSC-klagomål.docx", "A 1510-2024")</f>
        <v/>
      </c>
      <c r="AB15">
        <f>HYPERLINK("https://klasma.github.io/Logging_1285/klagomålsmail/A 1510-2024 FSC-klagomål mail.docx", "A 1510-2024")</f>
        <v/>
      </c>
      <c r="AC15">
        <f>HYPERLINK("https://klasma.github.io/Logging_1285/tillsyn/A 1510-2024 tillsynsbegäran.docx", "A 1510-2024")</f>
        <v/>
      </c>
      <c r="AD15">
        <f>HYPERLINK("https://klasma.github.io/Logging_1285/tillsynsmail/A 1510-2024 tillsynsbegäran mail.docx", "A 1510-2024")</f>
        <v/>
      </c>
      <c r="AE15">
        <f>HYPERLINK("https://klasma.github.io/Logging_1285/fåglar/A 1510-2024 prioriterade fågelarter.docx", "A 1510-2024")</f>
        <v/>
      </c>
    </row>
    <row r="16" ht="15" customHeight="1">
      <c r="A16" t="inlineStr">
        <is>
          <t>A 52652-2023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45225</v>
      </c>
      <c r="E16" s="1" t="n">
        <v>46297</v>
      </c>
      <c r="F16" t="inlineStr">
        <is>
          <t>SKÅNE LÄN</t>
        </is>
      </c>
      <c r="G16" t="inlineStr">
        <is>
          <t>ESLÖV</t>
        </is>
      </c>
      <c r="I16" t="n">
        <v>2.9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Grönfläckig padda</t>
        </is>
      </c>
      <c r="W16">
        <f>HYPERLINK("https://klasma.github.io/Logging_1285/artfynd/A 52652-2023 artfynd.xlsx", "A 52652-2023")</f>
        <v/>
      </c>
      <c r="X16">
        <f>HYPERLINK("https://klasma.github.io/Logging_1285/kartor/A 52652-2023 karta.png", "A 52652-2023")</f>
        <v/>
      </c>
      <c r="Y16">
        <f>HYPERLINK("https://klasma.github.io/Logging_1285/kartor_geotiff/A 52652-2023 georefererad karta.tif", "A 52652-2023")</f>
        <v/>
      </c>
      <c r="AA16">
        <f>HYPERLINK("https://klasma.github.io/Logging_1285/klagomål/A 52652-2023 FSC-klagomål.docx", "A 52652-2023")</f>
        <v/>
      </c>
      <c r="AB16">
        <f>HYPERLINK("https://klasma.github.io/Logging_1285/klagomålsmail/A 52652-2023 FSC-klagomål mail.docx", "A 52652-2023")</f>
        <v/>
      </c>
      <c r="AC16">
        <f>HYPERLINK("https://klasma.github.io/Logging_1285/tillsyn/A 52652-2023 tillsynsbegäran.docx", "A 52652-2023")</f>
        <v/>
      </c>
      <c r="AD16">
        <f>HYPERLINK("https://klasma.github.io/Logging_1285/tillsynsmail/A 52652-2023 tillsynsbegäran mail.docx", "A 52652-2023")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46297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46297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46297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46297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46297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11221-2024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45371</v>
      </c>
      <c r="E22" s="1" t="n">
        <v>46297</v>
      </c>
      <c r="F22" t="inlineStr">
        <is>
          <t>SKÅNE LÄN</t>
        </is>
      </c>
      <c r="G22" t="inlineStr">
        <is>
          <t>ESLÖV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46297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32984-2024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45517</v>
      </c>
      <c r="E24" s="1" t="n">
        <v>46297</v>
      </c>
      <c r="F24" t="inlineStr">
        <is>
          <t>SKÅNE LÄN</t>
        </is>
      </c>
      <c r="G24" t="inlineStr">
        <is>
          <t>ESLÖV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47870-2025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46297</v>
      </c>
      <c r="F25" t="inlineStr">
        <is>
          <t>SKÅNE LÄN</t>
        </is>
      </c>
      <c r="G25" t="inlineStr">
        <is>
          <t>ESLÖV</t>
        </is>
      </c>
      <c r="I25" t="n">
        <v>6.8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9482-2023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44981</v>
      </c>
      <c r="E26" s="1" t="n">
        <v>46297</v>
      </c>
      <c r="F26" t="inlineStr">
        <is>
          <t>SKÅNE LÄN</t>
        </is>
      </c>
      <c r="G26" t="inlineStr">
        <is>
          <t>ESLÖV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46297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16792-2024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45411</v>
      </c>
      <c r="E28" s="1" t="n">
        <v>46297</v>
      </c>
      <c r="F28" t="inlineStr">
        <is>
          <t>SKÅNE LÄN</t>
        </is>
      </c>
      <c r="G28" t="inlineStr">
        <is>
          <t>ESLÖV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43808-2024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45571</v>
      </c>
      <c r="E29" s="1" t="n">
        <v>46297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9849-2026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46072</v>
      </c>
      <c r="E30" s="1" t="n">
        <v>46297</v>
      </c>
      <c r="F30" t="inlineStr">
        <is>
          <t>SKÅNE LÄN</t>
        </is>
      </c>
      <c r="G30" t="inlineStr">
        <is>
          <t>ESLÖV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47356-2025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45930</v>
      </c>
      <c r="E31" s="1" t="n">
        <v>46297</v>
      </c>
      <c r="F31" t="inlineStr">
        <is>
          <t>SKÅNE LÄN</t>
        </is>
      </c>
      <c r="G31" t="inlineStr">
        <is>
          <t>ESLÖV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46297</v>
      </c>
      <c r="F32" t="inlineStr">
        <is>
          <t>SKÅNE LÄN</t>
        </is>
      </c>
      <c r="G32" t="inlineStr">
        <is>
          <t>ESLÖV</t>
        </is>
      </c>
      <c r="I32" t="n">
        <v>12.4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46297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46297</v>
      </c>
      <c r="F34" t="inlineStr">
        <is>
          <t>SKÅNE LÄN</t>
        </is>
      </c>
      <c r="G34" t="inlineStr">
        <is>
          <t>ESLÖV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11204-2023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44992</v>
      </c>
      <c r="E35" s="1" t="n">
        <v>46297</v>
      </c>
      <c r="F35" t="inlineStr">
        <is>
          <t>SKÅNE LÄN</t>
        </is>
      </c>
      <c r="G35" t="inlineStr">
        <is>
          <t>ESLÖV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28088-2025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45817</v>
      </c>
      <c r="E36" s="1" t="n">
        <v>46297</v>
      </c>
      <c r="F36" t="inlineStr">
        <is>
          <t>SKÅNE LÄN</t>
        </is>
      </c>
      <c r="G36" t="inlineStr">
        <is>
          <t>ESLÖV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18281-2026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46125</v>
      </c>
      <c r="E37" s="1" t="n">
        <v>46297</v>
      </c>
      <c r="F37" t="inlineStr">
        <is>
          <t>SKÅNE LÄN</t>
        </is>
      </c>
      <c r="G37" t="inlineStr">
        <is>
          <t>ESLÖV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25508-2023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46297</v>
      </c>
      <c r="F38" t="inlineStr">
        <is>
          <t>SKÅNE LÄN</t>
        </is>
      </c>
      <c r="G38" t="inlineStr">
        <is>
          <t>ESLÖV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9686-2023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46297</v>
      </c>
      <c r="F39" t="inlineStr">
        <is>
          <t>SKÅNE LÄN</t>
        </is>
      </c>
      <c r="G39" t="inlineStr">
        <is>
          <t>ESLÖV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45705</v>
      </c>
      <c r="E40" s="1" t="n">
        <v>46297</v>
      </c>
      <c r="F40" t="inlineStr">
        <is>
          <t>SKÅNE LÄN</t>
        </is>
      </c>
      <c r="G40" t="inlineStr">
        <is>
          <t>ESLÖV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44805</v>
      </c>
      <c r="E41" s="1" t="n">
        <v>46297</v>
      </c>
      <c r="F41" t="inlineStr">
        <is>
          <t>SKÅNE LÄN</t>
        </is>
      </c>
      <c r="G41" t="inlineStr">
        <is>
          <t>ESLÖV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25388-2023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45089</v>
      </c>
      <c r="E42" s="1" t="n">
        <v>46297</v>
      </c>
      <c r="F42" t="inlineStr">
        <is>
          <t>SKÅNE LÄN</t>
        </is>
      </c>
      <c r="G42" t="inlineStr">
        <is>
          <t>ESLÖV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46153</v>
      </c>
      <c r="E43" s="1" t="n">
        <v>46297</v>
      </c>
      <c r="F43" t="inlineStr">
        <is>
          <t>SKÅNE LÄN</t>
        </is>
      </c>
      <c r="G43" t="inlineStr">
        <is>
          <t>ESLÖV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46297</v>
      </c>
      <c r="F44" t="inlineStr">
        <is>
          <t>SKÅNE LÄN</t>
        </is>
      </c>
      <c r="G44" t="inlineStr">
        <is>
          <t>ESLÖV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18503-2026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46297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46297</v>
      </c>
      <c r="F46" t="inlineStr">
        <is>
          <t>SKÅNE LÄN</t>
        </is>
      </c>
      <c r="G46" t="inlineStr">
        <is>
          <t>ESLÖV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46297</v>
      </c>
      <c r="F47" t="inlineStr">
        <is>
          <t>SKÅNE LÄN</t>
        </is>
      </c>
      <c r="G47" t="inlineStr">
        <is>
          <t>ESLÖV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25730-2026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46297</v>
      </c>
      <c r="F48" t="inlineStr">
        <is>
          <t>SKÅNE LÄN</t>
        </is>
      </c>
      <c r="G48" t="inlineStr">
        <is>
          <t>ESLÖV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7016-2025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45701</v>
      </c>
      <c r="E49" s="1" t="n">
        <v>46297</v>
      </c>
      <c r="F49" t="inlineStr">
        <is>
          <t>SKÅNE LÄN</t>
        </is>
      </c>
      <c r="G49" t="inlineStr">
        <is>
          <t>ESLÖV</t>
        </is>
      </c>
      <c r="H49" t="inlineStr">
        <is>
          <t>Sveaskog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46297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46297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46297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46297</v>
      </c>
      <c r="F53" t="inlineStr">
        <is>
          <t>SKÅNE LÄN</t>
        </is>
      </c>
      <c r="G53" t="inlineStr">
        <is>
          <t>ESLÖV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46297</v>
      </c>
      <c r="F54" t="inlineStr">
        <is>
          <t>SKÅNE LÄN</t>
        </is>
      </c>
      <c r="G54" t="inlineStr">
        <is>
          <t>ESLÖV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46297</v>
      </c>
      <c r="F55" t="inlineStr">
        <is>
          <t>SKÅNE LÄN</t>
        </is>
      </c>
      <c r="G55" t="inlineStr">
        <is>
          <t>ESLÖV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16670-2025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45754</v>
      </c>
      <c r="E56" s="1" t="n">
        <v>46297</v>
      </c>
      <c r="F56" t="inlineStr">
        <is>
          <t>SKÅNE LÄN</t>
        </is>
      </c>
      <c r="G56" t="inlineStr">
        <is>
          <t>ESLÖV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45139</v>
      </c>
      <c r="E57" s="1" t="n">
        <v>46297</v>
      </c>
      <c r="F57" t="inlineStr">
        <is>
          <t>SKÅNE LÄN</t>
        </is>
      </c>
      <c r="G57" t="inlineStr">
        <is>
          <t>ESLÖV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45268</v>
      </c>
      <c r="E58" s="1" t="n">
        <v>46297</v>
      </c>
      <c r="F58" t="inlineStr">
        <is>
          <t>SKÅNE LÄN</t>
        </is>
      </c>
      <c r="G58" t="inlineStr">
        <is>
          <t>ESLÖV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45138</v>
      </c>
      <c r="E59" s="1" t="n">
        <v>46297</v>
      </c>
      <c r="F59" t="inlineStr">
        <is>
          <t>SKÅNE LÄN</t>
        </is>
      </c>
      <c r="G59" t="inlineStr">
        <is>
          <t>ESLÖV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46297</v>
      </c>
      <c r="F60" t="inlineStr">
        <is>
          <t>SKÅNE LÄN</t>
        </is>
      </c>
      <c r="G60" t="inlineStr">
        <is>
          <t>ESLÖV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46297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46297</v>
      </c>
      <c r="F62" t="inlineStr">
        <is>
          <t>SKÅNE LÄN</t>
        </is>
      </c>
      <c r="G62" t="inlineStr">
        <is>
          <t>ESLÖV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46297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58721-2025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45986</v>
      </c>
      <c r="E64" s="1" t="n">
        <v>46297</v>
      </c>
      <c r="F64" t="inlineStr">
        <is>
          <t>SKÅNE LÄN</t>
        </is>
      </c>
      <c r="G64" t="inlineStr">
        <is>
          <t>ESLÖV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46297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33865-2024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46297</v>
      </c>
      <c r="F66" t="inlineStr">
        <is>
          <t>SKÅNE LÄN</t>
        </is>
      </c>
      <c r="G66" t="inlineStr">
        <is>
          <t>ESLÖV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46297</v>
      </c>
      <c r="F67" t="inlineStr">
        <is>
          <t>SKÅNE LÄN</t>
        </is>
      </c>
      <c r="G67" t="inlineStr">
        <is>
          <t>ESLÖV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46297</v>
      </c>
      <c r="F68" t="inlineStr">
        <is>
          <t>SKÅNE LÄN</t>
        </is>
      </c>
      <c r="G68" t="inlineStr">
        <is>
          <t>ESLÖV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15357-2023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45019</v>
      </c>
      <c r="E69" s="1" t="n">
        <v>46297</v>
      </c>
      <c r="F69" t="inlineStr">
        <is>
          <t>SKÅNE LÄN</t>
        </is>
      </c>
      <c r="G69" t="inlineStr">
        <is>
          <t>ESLÖV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49137-2024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46297</v>
      </c>
      <c r="F70" t="inlineStr">
        <is>
          <t>SKÅNE LÄN</t>
        </is>
      </c>
      <c r="G70" t="inlineStr">
        <is>
          <t>ESLÖV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2026-10-02T01:59:58Z</dcterms:created>
  <dcterms:modified xmlns:dcterms="http://purl.org/dc/terms/" xmlns:xsi="http://www.w3.org/2001/XMLSchema-instance" xsi:type="dcterms:W3CDTF">2026-10-02T01:59:58Z</dcterms:modified>
</cp:coreProperties>
</file>