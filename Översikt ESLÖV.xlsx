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146-2024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45307</v>
      </c>
      <c r="E2" s="1" t="n">
        <v>46268</v>
      </c>
      <c r="F2" t="inlineStr">
        <is>
          <t>SKÅNE LÄN</t>
        </is>
      </c>
      <c r="G2" t="inlineStr">
        <is>
          <t>ESLÖV</t>
        </is>
      </c>
      <c r="I2" t="n">
        <v>126.5</v>
      </c>
      <c r="J2" t="n">
        <v>5</v>
      </c>
      <c r="K2" t="n">
        <v>0</v>
      </c>
      <c r="L2" t="n">
        <v>2</v>
      </c>
      <c r="M2" t="n">
        <v>2</v>
      </c>
      <c r="N2" t="n">
        <v>0</v>
      </c>
      <c r="O2" t="n">
        <v>0</v>
      </c>
      <c r="P2" t="n">
        <v>1</v>
      </c>
      <c r="Q2" t="n">
        <v>5</v>
      </c>
      <c r="R2" t="n">
        <v>2</v>
      </c>
      <c r="S2" t="n">
        <v>8</v>
      </c>
      <c r="T2" t="n">
        <v>11</v>
      </c>
      <c r="U2" t="n">
        <v>5</v>
      </c>
      <c r="V2" s="2" t="inlineStr">
        <is>
          <t>Förgyllt metallfly
Grönfink
Revig blodrot
Gulsparv
Skogsveronika
Spillkråka
Kungsfågel
Revlummer</t>
        </is>
      </c>
      <c r="W2">
        <f>HYPERLINK("https://klasma.github.io/Logging_1285/artfynd/S 146-2024 artfynd.xlsx", "S 146-2024")</f>
        <v/>
      </c>
      <c r="X2">
        <f>HYPERLINK("https://klasma.github.io/Logging_1285/kartor/S 146-2024 karta.png", "S 146-2024")</f>
        <v/>
      </c>
      <c r="Y2">
        <f>HYPERLINK("https://klasma.github.io/Logging_1285/kartor_geotiff/S 146-2024 georefererad karta.tif", "S 146-2024")</f>
        <v/>
      </c>
      <c r="AA2">
        <f>HYPERLINK("https://klasma.github.io/Logging_1285/klagomål/S 146-2024 FSC-klagomål.docx", "S 146-2024")</f>
        <v/>
      </c>
      <c r="AB2">
        <f>HYPERLINK("https://klasma.github.io/Logging_1285/klagomålsmail/S 146-2024 FSC-klagomål mail.docx", "S 146-2024")</f>
        <v/>
      </c>
      <c r="AC2">
        <f>HYPERLINK("https://klasma.github.io/Logging_1285/tillsyn/S 146-2024 tillsynsbegäran.docx", "S 146-2024")</f>
        <v/>
      </c>
      <c r="AD2">
        <f>HYPERLINK("https://klasma.github.io/Logging_1285/tillsynsmail/S 146-2024 tillsynsbegäran mail.docx", "S 146-2024")</f>
        <v/>
      </c>
      <c r="AE2">
        <f>HYPERLINK("https://klasma.github.io/Logging_1285/fåglar/S 146-2024 prioriterade fågelarter.docx", "S 146-2024")</f>
        <v/>
      </c>
    </row>
    <row r="3" ht="15" customHeight="1">
      <c r="A3" t="inlineStr">
        <is>
          <t>A 53826-2024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45615</v>
      </c>
      <c r="E3" s="1" t="n">
        <v>46268</v>
      </c>
      <c r="F3" t="inlineStr">
        <is>
          <t>SKÅNE LÄN</t>
        </is>
      </c>
      <c r="G3" t="inlineStr">
        <is>
          <t>ESLÖV</t>
        </is>
      </c>
      <c r="I3" t="n">
        <v>1.2</v>
      </c>
      <c r="J3" t="n">
        <v>1</v>
      </c>
      <c r="K3" t="n">
        <v>5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10</v>
      </c>
      <c r="U3" t="n">
        <v>0</v>
      </c>
      <c r="V3" s="2" t="inlineStr">
        <is>
          <t>Ask
Desmeknopp
Myskmadra
Skogsknipprot
Springkorn
Stor häxört
Svart trolldruva</t>
        </is>
      </c>
      <c r="W3">
        <f>HYPERLINK("https://klasma.github.io/Logging_1285/artfynd/A 53826-2024 artfynd.xlsx", "A 53826-2024")</f>
        <v/>
      </c>
      <c r="X3">
        <f>HYPERLINK("https://klasma.github.io/Logging_1285/kartor/A 53826-2024 karta.png", "A 53826-2024")</f>
        <v/>
      </c>
      <c r="Y3">
        <f>HYPERLINK("https://klasma.github.io/Logging_1285/kartor_geotiff/A 53826-2024 georefererad karta.tif", "A 53826-2024")</f>
        <v/>
      </c>
      <c r="AA3">
        <f>HYPERLINK("https://klasma.github.io/Logging_1285/klagomål/A 53826-2024 FSC-klagomål.docx", "A 53826-2024")</f>
        <v/>
      </c>
      <c r="AB3">
        <f>HYPERLINK("https://klasma.github.io/Logging_1285/klagomålsmail/A 53826-2024 FSC-klagomål mail.docx", "A 53826-2024")</f>
        <v/>
      </c>
      <c r="AC3">
        <f>HYPERLINK("https://klasma.github.io/Logging_1285/tillsyn/A 53826-2024 tillsynsbegäran.docx", "A 53826-2024")</f>
        <v/>
      </c>
      <c r="AD3">
        <f>HYPERLINK("https://klasma.github.io/Logging_1285/tillsynsmail/A 53826-2024 tillsynsbegäran mail.docx", "A 53826-2024")</f>
        <v/>
      </c>
    </row>
    <row r="4" ht="15" customHeight="1">
      <c r="A4" t="inlineStr">
        <is>
          <t>A 6545-2023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44960</v>
      </c>
      <c r="E4" s="1" t="n">
        <v>46268</v>
      </c>
      <c r="F4" t="inlineStr">
        <is>
          <t>SKÅNE LÄN</t>
        </is>
      </c>
      <c r="G4" t="inlineStr">
        <is>
          <t>ESLÖV</t>
        </is>
      </c>
      <c r="I4" t="n">
        <v>4.1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6</v>
      </c>
      <c r="T4" t="n">
        <v>6</v>
      </c>
      <c r="U4" t="n">
        <v>1</v>
      </c>
      <c r="V4" s="2" t="inlineStr">
        <is>
          <t>Spillkråka
Gröngöling
Havsörn
Svartvit flugsnappare
Törnskata
Ärtsångare</t>
        </is>
      </c>
      <c r="W4">
        <f>HYPERLINK("https://klasma.github.io/Logging_1285/artfynd/A 6545-2023 artfynd.xlsx", "A 6545-2023")</f>
        <v/>
      </c>
      <c r="X4">
        <f>HYPERLINK("https://klasma.github.io/Logging_1285/kartor/A 6545-2023 karta.png", "A 6545-2023")</f>
        <v/>
      </c>
      <c r="Y4">
        <f>HYPERLINK("https://klasma.github.io/Logging_1285/kartor_geotiff/A 6545-2023 georefererad karta.tif", "A 6545-2023")</f>
        <v/>
      </c>
      <c r="AA4">
        <f>HYPERLINK("https://klasma.github.io/Logging_1285/klagomål/A 6545-2023 FSC-klagomål.docx", "A 6545-2023")</f>
        <v/>
      </c>
      <c r="AB4">
        <f>HYPERLINK("https://klasma.github.io/Logging_1285/klagomålsmail/A 6545-2023 FSC-klagomål mail.docx", "A 6545-2023")</f>
        <v/>
      </c>
      <c r="AC4">
        <f>HYPERLINK("https://klasma.github.io/Logging_1285/tillsyn/A 6545-2023 tillsynsbegäran.docx", "A 6545-2023")</f>
        <v/>
      </c>
      <c r="AD4">
        <f>HYPERLINK("https://klasma.github.io/Logging_1285/tillsynsmail/A 6545-2023 tillsynsbegäran mail.docx", "A 6545-2023")</f>
        <v/>
      </c>
      <c r="AE4">
        <f>HYPERLINK("https://klasma.github.io/Logging_1285/fåglar/A 6545-2023 prioriterade fågelarter.docx", "A 6545-2023")</f>
        <v/>
      </c>
    </row>
    <row r="5" ht="15" customHeight="1">
      <c r="A5" t="inlineStr">
        <is>
          <t>S 5728-2022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44846</v>
      </c>
      <c r="E5" s="1" t="n">
        <v>46268</v>
      </c>
      <c r="F5" t="inlineStr">
        <is>
          <t>SKÅNE LÄN</t>
        </is>
      </c>
      <c r="G5" t="inlineStr">
        <is>
          <t>ESLÖV</t>
        </is>
      </c>
      <c r="I5" t="n">
        <v>70.40000000000001</v>
      </c>
      <c r="J5" t="n">
        <v>2</v>
      </c>
      <c r="K5" t="n">
        <v>1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5</v>
      </c>
      <c r="U5" t="n">
        <v>4</v>
      </c>
      <c r="V5" s="2" t="inlineStr">
        <is>
          <t>Skogsalm
Brunfläckig pärlemorfjäril
Igelkott
Björktrast
Skogsknipprot</t>
        </is>
      </c>
      <c r="W5">
        <f>HYPERLINK("https://klasma.github.io/Logging_1285/artfynd/S 5728-2022 artfynd.xlsx", "S 5728-2022")</f>
        <v/>
      </c>
      <c r="X5">
        <f>HYPERLINK("https://klasma.github.io/Logging_1285/kartor/S 5728-2022 karta.png", "S 5728-2022")</f>
        <v/>
      </c>
      <c r="Y5">
        <f>HYPERLINK("https://klasma.github.io/Logging_1285/kartor_geotiff/S 5728-2022 georefererad karta.tif", "S 5728-2022")</f>
        <v/>
      </c>
      <c r="AA5">
        <f>HYPERLINK("https://klasma.github.io/Logging_1285/klagomål/S 5728-2022 FSC-klagomål.docx", "S 5728-2022")</f>
        <v/>
      </c>
      <c r="AB5">
        <f>HYPERLINK("https://klasma.github.io/Logging_1285/klagomålsmail/S 5728-2022 FSC-klagomål mail.docx", "S 5728-2022")</f>
        <v/>
      </c>
      <c r="AC5">
        <f>HYPERLINK("https://klasma.github.io/Logging_1285/tillsyn/S 5728-2022 tillsynsbegäran.docx", "S 5728-2022")</f>
        <v/>
      </c>
      <c r="AD5">
        <f>HYPERLINK("https://klasma.github.io/Logging_1285/tillsynsmail/S 5728-2022 tillsynsbegäran mail.docx", "S 5728-2022")</f>
        <v/>
      </c>
      <c r="AE5">
        <f>HYPERLINK("https://klasma.github.io/Logging_1285/fåglar/S 5728-2022 prioriterade fågelarter.docx", "S 5728-2022")</f>
        <v/>
      </c>
    </row>
    <row r="6" ht="15" customHeight="1">
      <c r="A6" t="inlineStr">
        <is>
          <t>A 28093-2025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45817</v>
      </c>
      <c r="E6" s="1" t="n">
        <v>46268</v>
      </c>
      <c r="F6" t="inlineStr">
        <is>
          <t>SKÅNE LÄN</t>
        </is>
      </c>
      <c r="G6" t="inlineStr">
        <is>
          <t>ESLÖV</t>
        </is>
      </c>
      <c r="I6" t="n">
        <v>10.2</v>
      </c>
      <c r="J6" t="n">
        <v>3</v>
      </c>
      <c r="K6" t="n">
        <v>0</v>
      </c>
      <c r="L6" t="n">
        <v>0</v>
      </c>
      <c r="M6" t="n">
        <v>2</v>
      </c>
      <c r="N6" t="n">
        <v>0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4</v>
      </c>
      <c r="U6" t="n">
        <v>2</v>
      </c>
      <c r="V6" s="2" t="inlineStr">
        <is>
          <t>Grönfink
Revig blodrot
Spillkråka
Kungsfågel</t>
        </is>
      </c>
      <c r="W6">
        <f>HYPERLINK("https://klasma.github.io/Logging_1285/artfynd/A 28093-2025 artfynd.xlsx", "A 28093-2025")</f>
        <v/>
      </c>
      <c r="X6">
        <f>HYPERLINK("https://klasma.github.io/Logging_1285/kartor/A 28093-2025 karta.png", "A 28093-2025")</f>
        <v/>
      </c>
      <c r="Y6">
        <f>HYPERLINK("https://klasma.github.io/Logging_1285/kartor_geotiff/A 28093-2025 georefererad karta.tif", "A 28093-2025")</f>
        <v/>
      </c>
      <c r="AA6">
        <f>HYPERLINK("https://klasma.github.io/Logging_1285/klagomål/A 28093-2025 FSC-klagomål.docx", "A 28093-2025")</f>
        <v/>
      </c>
      <c r="AB6">
        <f>HYPERLINK("https://klasma.github.io/Logging_1285/klagomålsmail/A 28093-2025 FSC-klagomål mail.docx", "A 28093-2025")</f>
        <v/>
      </c>
      <c r="AC6">
        <f>HYPERLINK("https://klasma.github.io/Logging_1285/tillsyn/A 28093-2025 tillsynsbegäran.docx", "A 28093-2025")</f>
        <v/>
      </c>
      <c r="AD6">
        <f>HYPERLINK("https://klasma.github.io/Logging_1285/tillsynsmail/A 28093-2025 tillsynsbegäran mail.docx", "A 28093-2025")</f>
        <v/>
      </c>
      <c r="AE6">
        <f>HYPERLINK("https://klasma.github.io/Logging_1285/fåglar/A 28093-2025 prioriterade fågelarter.docx", "A 28093-2025")</f>
        <v/>
      </c>
    </row>
    <row r="7" ht="15" customHeight="1">
      <c r="A7" t="inlineStr">
        <is>
          <t>A 32950-2026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46244</v>
      </c>
      <c r="E7" s="1" t="n">
        <v>46268</v>
      </c>
      <c r="F7" t="inlineStr">
        <is>
          <t>SKÅNE LÄN</t>
        </is>
      </c>
      <c r="G7" t="inlineStr">
        <is>
          <t>ESLÖV</t>
        </is>
      </c>
      <c r="I7" t="n">
        <v>18.6</v>
      </c>
      <c r="J7" t="n">
        <v>1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Skogsveronika
Svartnande kantarell
Spillkråka</t>
        </is>
      </c>
      <c r="W7">
        <f>HYPERLINK("https://klasma.github.io/Logging_1285/artfynd/A 32950-2026 artfynd.xlsx", "A 32950-2026")</f>
        <v/>
      </c>
      <c r="X7">
        <f>HYPERLINK("https://klasma.github.io/Logging_1285/kartor/A 32950-2026 karta.png", "A 32950-2026")</f>
        <v/>
      </c>
      <c r="Y7">
        <f>HYPERLINK("https://klasma.github.io/Logging_1285/kartor_geotiff/A 32950-2026 georefererad karta.tif", "A 32950-2026")</f>
        <v/>
      </c>
      <c r="AA7">
        <f>HYPERLINK("https://klasma.github.io/Logging_1285/klagomål/A 32950-2026 FSC-klagomål.docx", "A 32950-2026")</f>
        <v/>
      </c>
      <c r="AB7">
        <f>HYPERLINK("https://klasma.github.io/Logging_1285/klagomålsmail/A 32950-2026 FSC-klagomål mail.docx", "A 32950-2026")</f>
        <v/>
      </c>
      <c r="AC7">
        <f>HYPERLINK("https://klasma.github.io/Logging_1285/tillsyn/A 32950-2026 tillsynsbegäran.docx", "A 32950-2026")</f>
        <v/>
      </c>
      <c r="AD7">
        <f>HYPERLINK("https://klasma.github.io/Logging_1285/tillsynsmail/A 32950-2026 tillsynsbegäran mail.docx", "A 32950-2026")</f>
        <v/>
      </c>
      <c r="AE7">
        <f>HYPERLINK("https://klasma.github.io/Logging_1285/fåglar/A 32950-2026 prioriterade fågelarter.docx", "A 32950-2026")</f>
        <v/>
      </c>
    </row>
    <row r="8" ht="15" customHeight="1">
      <c r="A8" t="inlineStr">
        <is>
          <t>A 14395-2026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46100</v>
      </c>
      <c r="E8" s="1" t="n">
        <v>46268</v>
      </c>
      <c r="F8" t="inlineStr">
        <is>
          <t>SKÅNE LÄN</t>
        </is>
      </c>
      <c r="G8" t="inlineStr">
        <is>
          <t>ESLÖV</t>
        </is>
      </c>
      <c r="I8" t="n">
        <v>4.9</v>
      </c>
      <c r="J8" t="n">
        <v>0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4</v>
      </c>
      <c r="U8" t="n">
        <v>0</v>
      </c>
      <c r="V8" s="2" t="inlineStr">
        <is>
          <t>Ask
Kransrams</t>
        </is>
      </c>
      <c r="W8">
        <f>HYPERLINK("https://klasma.github.io/Logging_1285/artfynd/A 14395-2026 artfynd.xlsx", "A 14395-2026")</f>
        <v/>
      </c>
      <c r="X8">
        <f>HYPERLINK("https://klasma.github.io/Logging_1285/kartor/A 14395-2026 karta.png", "A 14395-2026")</f>
        <v/>
      </c>
      <c r="Y8">
        <f>HYPERLINK("https://klasma.github.io/Logging_1285/kartor_geotiff/A 14395-2026 georefererad karta.tif", "A 14395-2026")</f>
        <v/>
      </c>
      <c r="AA8">
        <f>HYPERLINK("https://klasma.github.io/Logging_1285/klagomål/A 14395-2026 FSC-klagomål.docx", "A 14395-2026")</f>
        <v/>
      </c>
      <c r="AB8">
        <f>HYPERLINK("https://klasma.github.io/Logging_1285/klagomålsmail/A 14395-2026 FSC-klagomål mail.docx", "A 14395-2026")</f>
        <v/>
      </c>
      <c r="AC8">
        <f>HYPERLINK("https://klasma.github.io/Logging_1285/tillsyn/A 14395-2026 tillsynsbegäran.docx", "A 14395-2026")</f>
        <v/>
      </c>
      <c r="AD8">
        <f>HYPERLINK("https://klasma.github.io/Logging_1285/tillsynsmail/A 14395-2026 tillsynsbegäran mail.docx", "A 14395-2026")</f>
        <v/>
      </c>
    </row>
    <row r="9" ht="15" customHeight="1">
      <c r="A9" t="inlineStr">
        <is>
          <t>A 9487-2023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44981</v>
      </c>
      <c r="E9" s="1" t="n">
        <v>46268</v>
      </c>
      <c r="F9" t="inlineStr">
        <is>
          <t>SKÅNE LÄN</t>
        </is>
      </c>
      <c r="G9" t="inlineStr">
        <is>
          <t>ESLÖV</t>
        </is>
      </c>
      <c r="I9" t="n">
        <v>1.9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Älg
Kambräken</t>
        </is>
      </c>
      <c r="W9">
        <f>HYPERLINK("https://klasma.github.io/Logging_1285/artfynd/A 9487-2023 artfynd.xlsx", "A 9487-2023")</f>
        <v/>
      </c>
      <c r="X9">
        <f>HYPERLINK("https://klasma.github.io/Logging_1285/kartor/A 9487-2023 karta.png", "A 9487-2023")</f>
        <v/>
      </c>
      <c r="Y9">
        <f>HYPERLINK("https://klasma.github.io/Logging_1285/kartor_geotiff/A 9487-2023 georefererad karta.tif", "A 9487-2023")</f>
        <v/>
      </c>
      <c r="AA9">
        <f>HYPERLINK("https://klasma.github.io/Logging_1285/klagomål/A 9487-2023 FSC-klagomål.docx", "A 9487-2023")</f>
        <v/>
      </c>
      <c r="AB9">
        <f>HYPERLINK("https://klasma.github.io/Logging_1285/klagomålsmail/A 9487-2023 FSC-klagomål mail.docx", "A 9487-2023")</f>
        <v/>
      </c>
      <c r="AC9">
        <f>HYPERLINK("https://klasma.github.io/Logging_1285/tillsyn/A 9487-2023 tillsynsbegäran.docx", "A 9487-2023")</f>
        <v/>
      </c>
      <c r="AD9">
        <f>HYPERLINK("https://klasma.github.io/Logging_1285/tillsynsmail/A 9487-2023 tillsynsbegäran mail.docx", "A 9487-2023")</f>
        <v/>
      </c>
    </row>
    <row r="10" ht="15" customHeight="1">
      <c r="A10" t="inlineStr">
        <is>
          <t>A 23773-2025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45793</v>
      </c>
      <c r="E10" s="1" t="n">
        <v>46268</v>
      </c>
      <c r="F10" t="inlineStr">
        <is>
          <t>SKÅNE LÄN</t>
        </is>
      </c>
      <c r="G10" t="inlineStr">
        <is>
          <t>ESLÖV</t>
        </is>
      </c>
      <c r="I10" t="n">
        <v>4.9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4</v>
      </c>
      <c r="U10" t="n">
        <v>0</v>
      </c>
      <c r="V10" s="2" t="inlineStr">
        <is>
          <t>Ask
Kransrams</t>
        </is>
      </c>
      <c r="W10">
        <f>HYPERLINK("https://klasma.github.io/Logging_1285/artfynd/A 23773-2025 artfynd.xlsx", "A 23773-2025")</f>
        <v/>
      </c>
      <c r="X10">
        <f>HYPERLINK("https://klasma.github.io/Logging_1285/kartor/A 23773-2025 karta.png", "A 23773-2025")</f>
        <v/>
      </c>
      <c r="Y10">
        <f>HYPERLINK("https://klasma.github.io/Logging_1285/kartor_geotiff/A 23773-2025 georefererad karta.tif", "A 23773-2025")</f>
        <v/>
      </c>
      <c r="AA10">
        <f>HYPERLINK("https://klasma.github.io/Logging_1285/klagomål/A 23773-2025 FSC-klagomål.docx", "A 23773-2025")</f>
        <v/>
      </c>
      <c r="AB10">
        <f>HYPERLINK("https://klasma.github.io/Logging_1285/klagomålsmail/A 23773-2025 FSC-klagomål mail.docx", "A 23773-2025")</f>
        <v/>
      </c>
      <c r="AC10">
        <f>HYPERLINK("https://klasma.github.io/Logging_1285/tillsyn/A 23773-2025 tillsynsbegäran.docx", "A 23773-2025")</f>
        <v/>
      </c>
      <c r="AD10">
        <f>HYPERLINK("https://klasma.github.io/Logging_1285/tillsynsmail/A 23773-2025 tillsynsbegäran mail.docx", "A 23773-2025")</f>
        <v/>
      </c>
    </row>
    <row r="11" ht="15" customHeight="1">
      <c r="A11" t="inlineStr">
        <is>
          <t>A 24809-2025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45799</v>
      </c>
      <c r="E11" s="1" t="n">
        <v>46268</v>
      </c>
      <c r="F11" t="inlineStr">
        <is>
          <t>SKÅNE LÄN</t>
        </is>
      </c>
      <c r="G11" t="inlineStr">
        <is>
          <t>ESLÖV</t>
        </is>
      </c>
      <c r="I11" t="n">
        <v>1.4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Spillkråka</t>
        </is>
      </c>
      <c r="W11">
        <f>HYPERLINK("https://klasma.github.io/Logging_1285/artfynd/A 24809-2025 artfynd.xlsx", "A 24809-2025")</f>
        <v/>
      </c>
      <c r="X11">
        <f>HYPERLINK("https://klasma.github.io/Logging_1285/kartor/A 24809-2025 karta.png", "A 24809-2025")</f>
        <v/>
      </c>
      <c r="Y11">
        <f>HYPERLINK("https://klasma.github.io/Logging_1285/kartor_geotiff/A 24809-2025 georefererad karta.tif", "A 24809-2025")</f>
        <v/>
      </c>
      <c r="AA11">
        <f>HYPERLINK("https://klasma.github.io/Logging_1285/klagomål/A 24809-2025 FSC-klagomål.docx", "A 24809-2025")</f>
        <v/>
      </c>
      <c r="AB11">
        <f>HYPERLINK("https://klasma.github.io/Logging_1285/klagomålsmail/A 24809-2025 FSC-klagomål mail.docx", "A 24809-2025")</f>
        <v/>
      </c>
      <c r="AC11">
        <f>HYPERLINK("https://klasma.github.io/Logging_1285/tillsyn/A 24809-2025 tillsynsbegäran.docx", "A 24809-2025")</f>
        <v/>
      </c>
      <c r="AD11">
        <f>HYPERLINK("https://klasma.github.io/Logging_1285/tillsynsmail/A 24809-2025 tillsynsbegäran mail.docx", "A 24809-2025")</f>
        <v/>
      </c>
      <c r="AE11">
        <f>HYPERLINK("https://klasma.github.io/Logging_1285/fåglar/A 24809-2025 prioriterade fågelarter.docx", "A 24809-2025")</f>
        <v/>
      </c>
    </row>
    <row r="12" ht="15" customHeight="1">
      <c r="A12" t="inlineStr">
        <is>
          <t>A 14013-2026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46098</v>
      </c>
      <c r="E12" s="1" t="n">
        <v>46268</v>
      </c>
      <c r="F12" t="inlineStr">
        <is>
          <t>SKÅNE LÄN</t>
        </is>
      </c>
      <c r="G12" t="inlineStr">
        <is>
          <t>ESLÖV</t>
        </is>
      </c>
      <c r="H12" t="inlineStr">
        <is>
          <t>Sveaskog</t>
        </is>
      </c>
      <c r="I12" t="n">
        <v>8.800000000000001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Törnskata</t>
        </is>
      </c>
      <c r="W12">
        <f>HYPERLINK("https://klasma.github.io/Logging_1285/artfynd/A 14013-2026 artfynd.xlsx", "A 14013-2026")</f>
        <v/>
      </c>
      <c r="X12">
        <f>HYPERLINK("https://klasma.github.io/Logging_1285/kartor/A 14013-2026 karta.png", "A 14013-2026")</f>
        <v/>
      </c>
      <c r="Y12">
        <f>HYPERLINK("https://klasma.github.io/Logging_1285/kartor_geotiff/A 14013-2026 georefererad karta.tif", "A 14013-2026")</f>
        <v/>
      </c>
      <c r="AA12">
        <f>HYPERLINK("https://klasma.github.io/Logging_1285/klagomål/A 14013-2026 FSC-klagomål.docx", "A 14013-2026")</f>
        <v/>
      </c>
      <c r="AB12">
        <f>HYPERLINK("https://klasma.github.io/Logging_1285/klagomålsmail/A 14013-2026 FSC-klagomål mail.docx", "A 14013-2026")</f>
        <v/>
      </c>
      <c r="AC12">
        <f>HYPERLINK("https://klasma.github.io/Logging_1285/tillsyn/A 14013-2026 tillsynsbegäran.docx", "A 14013-2026")</f>
        <v/>
      </c>
      <c r="AD12">
        <f>HYPERLINK("https://klasma.github.io/Logging_1285/tillsynsmail/A 14013-2026 tillsynsbegäran mail.docx", "A 14013-2026")</f>
        <v/>
      </c>
      <c r="AE12">
        <f>HYPERLINK("https://klasma.github.io/Logging_1285/fåglar/A 14013-2026 prioriterade fågelarter.docx", "A 14013-2026")</f>
        <v/>
      </c>
    </row>
    <row r="13" ht="15" customHeight="1">
      <c r="A13" t="inlineStr">
        <is>
          <t>A 61035-2024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46268</v>
      </c>
      <c r="F13" t="inlineStr">
        <is>
          <t>SKÅNE LÄN</t>
        </is>
      </c>
      <c r="G13" t="inlineStr">
        <is>
          <t>ESLÖV</t>
        </is>
      </c>
      <c r="I13" t="n">
        <v>7.6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3</v>
      </c>
      <c r="U13" t="n">
        <v>0</v>
      </c>
      <c r="V13" s="2" t="inlineStr">
        <is>
          <t>Gullpudra</t>
        </is>
      </c>
      <c r="W13">
        <f>HYPERLINK("https://klasma.github.io/Logging_1285/artfynd/A 61035-2024 artfynd.xlsx", "A 61035-2024")</f>
        <v/>
      </c>
      <c r="X13">
        <f>HYPERLINK("https://klasma.github.io/Logging_1285/kartor/A 61035-2024 karta.png", "A 61035-2024")</f>
        <v/>
      </c>
      <c r="Y13">
        <f>HYPERLINK("https://klasma.github.io/Logging_1285/kartor_geotiff/A 61035-2024 georefererad karta.tif", "A 61035-2024")</f>
        <v/>
      </c>
      <c r="AA13">
        <f>HYPERLINK("https://klasma.github.io/Logging_1285/klagomål/A 61035-2024 FSC-klagomål.docx", "A 61035-2024")</f>
        <v/>
      </c>
      <c r="AB13">
        <f>HYPERLINK("https://klasma.github.io/Logging_1285/klagomålsmail/A 61035-2024 FSC-klagomål mail.docx", "A 61035-2024")</f>
        <v/>
      </c>
      <c r="AC13">
        <f>HYPERLINK("https://klasma.github.io/Logging_1285/tillsyn/A 61035-2024 tillsynsbegäran.docx", "A 61035-2024")</f>
        <v/>
      </c>
      <c r="AD13">
        <f>HYPERLINK("https://klasma.github.io/Logging_1285/tillsynsmail/A 61035-2024 tillsynsbegäran mail.docx", "A 61035-2024")</f>
        <v/>
      </c>
    </row>
    <row r="14" ht="15" customHeight="1">
      <c r="A14" t="inlineStr">
        <is>
          <t>A 1510-2024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45306</v>
      </c>
      <c r="E14" s="1" t="n">
        <v>46268</v>
      </c>
      <c r="F14" t="inlineStr">
        <is>
          <t>SKÅNE LÄN</t>
        </is>
      </c>
      <c r="G14" t="inlineStr">
        <is>
          <t>ESLÖV</t>
        </is>
      </c>
      <c r="I14" t="n">
        <v>3.7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1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Svart stork</t>
        </is>
      </c>
      <c r="W14">
        <f>HYPERLINK("https://klasma.github.io/Logging_1285/artfynd/A 1510-2024 artfynd.xlsx", "A 1510-2024")</f>
        <v/>
      </c>
      <c r="X14">
        <f>HYPERLINK("https://klasma.github.io/Logging_1285/kartor/A 1510-2024 karta.png", "A 1510-2024")</f>
        <v/>
      </c>
      <c r="Y14">
        <f>HYPERLINK("https://klasma.github.io/Logging_1285/kartor_geotiff/A 1510-2024 georefererad karta.tif", "A 1510-2024")</f>
        <v/>
      </c>
      <c r="AA14">
        <f>HYPERLINK("https://klasma.github.io/Logging_1285/klagomål/A 1510-2024 FSC-klagomål.docx", "A 1510-2024")</f>
        <v/>
      </c>
      <c r="AB14">
        <f>HYPERLINK("https://klasma.github.io/Logging_1285/klagomålsmail/A 1510-2024 FSC-klagomål mail.docx", "A 1510-2024")</f>
        <v/>
      </c>
      <c r="AC14">
        <f>HYPERLINK("https://klasma.github.io/Logging_1285/tillsyn/A 1510-2024 tillsynsbegäran.docx", "A 1510-2024")</f>
        <v/>
      </c>
      <c r="AD14">
        <f>HYPERLINK("https://klasma.github.io/Logging_1285/tillsynsmail/A 1510-2024 tillsynsbegäran mail.docx", "A 1510-2024")</f>
        <v/>
      </c>
      <c r="AE14">
        <f>HYPERLINK("https://klasma.github.io/Logging_1285/fåglar/A 1510-2024 prioriterade fågelarter.docx", "A 1510-2024")</f>
        <v/>
      </c>
    </row>
    <row r="15" ht="15" customHeight="1">
      <c r="A15" t="inlineStr">
        <is>
          <t>A 52652-2023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45225</v>
      </c>
      <c r="E15" s="1" t="n">
        <v>46268</v>
      </c>
      <c r="F15" t="inlineStr">
        <is>
          <t>SKÅNE LÄN</t>
        </is>
      </c>
      <c r="G15" t="inlineStr">
        <is>
          <t>ESLÖV</t>
        </is>
      </c>
      <c r="I15" t="n">
        <v>2.9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Grönfläckig padda</t>
        </is>
      </c>
      <c r="W15">
        <f>HYPERLINK("https://klasma.github.io/Logging_1285/artfynd/A 52652-2023 artfynd.xlsx", "A 52652-2023")</f>
        <v/>
      </c>
      <c r="X15">
        <f>HYPERLINK("https://klasma.github.io/Logging_1285/kartor/A 52652-2023 karta.png", "A 52652-2023")</f>
        <v/>
      </c>
      <c r="Y15">
        <f>HYPERLINK("https://klasma.github.io/Logging_1285/kartor_geotiff/A 52652-2023 georefererad karta.tif", "A 52652-2023")</f>
        <v/>
      </c>
      <c r="AA15">
        <f>HYPERLINK("https://klasma.github.io/Logging_1285/klagomål/A 52652-2023 FSC-klagomål.docx", "A 52652-2023")</f>
        <v/>
      </c>
      <c r="AB15">
        <f>HYPERLINK("https://klasma.github.io/Logging_1285/klagomålsmail/A 52652-2023 FSC-klagomål mail.docx", "A 52652-2023")</f>
        <v/>
      </c>
      <c r="AC15">
        <f>HYPERLINK("https://klasma.github.io/Logging_1285/tillsyn/A 52652-2023 tillsynsbegäran.docx", "A 52652-2023")</f>
        <v/>
      </c>
      <c r="AD15">
        <f>HYPERLINK("https://klasma.github.io/Logging_1285/tillsynsmail/A 52652-2023 tillsynsbegäran mail.docx", "A 52652-2023")</f>
        <v/>
      </c>
    </row>
    <row r="16" ht="15" customHeight="1">
      <c r="A16" t="inlineStr">
        <is>
          <t>A 18713-2024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45426</v>
      </c>
      <c r="E16" s="1" t="n">
        <v>46268</v>
      </c>
      <c r="F16" t="inlineStr">
        <is>
          <t>SKÅNE LÄN</t>
        </is>
      </c>
      <c r="G16" t="inlineStr">
        <is>
          <t>ESLÖV</t>
        </is>
      </c>
      <c r="I16" t="n">
        <v>4.1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Gråtrut</t>
        </is>
      </c>
      <c r="W16">
        <f>HYPERLINK("https://klasma.github.io/Logging_1285/artfynd/A 18713-2024 artfynd.xlsx", "A 18713-2024")</f>
        <v/>
      </c>
      <c r="X16">
        <f>HYPERLINK("https://klasma.github.io/Logging_1285/kartor/A 18713-2024 karta.png", "A 18713-2024")</f>
        <v/>
      </c>
      <c r="Y16">
        <f>HYPERLINK("https://klasma.github.io/Logging_1285/kartor_geotiff/A 18713-2024 georefererad karta.tif", "A 18713-2024")</f>
        <v/>
      </c>
      <c r="AA16">
        <f>HYPERLINK("https://klasma.github.io/Logging_1285/klagomål/A 18713-2024 FSC-klagomål.docx", "A 18713-2024")</f>
        <v/>
      </c>
      <c r="AB16">
        <f>HYPERLINK("https://klasma.github.io/Logging_1285/klagomålsmail/A 18713-2024 FSC-klagomål mail.docx", "A 18713-2024")</f>
        <v/>
      </c>
      <c r="AC16">
        <f>HYPERLINK("https://klasma.github.io/Logging_1285/tillsyn/A 18713-2024 tillsynsbegäran.docx", "A 18713-2024")</f>
        <v/>
      </c>
      <c r="AD16">
        <f>HYPERLINK("https://klasma.github.io/Logging_1285/tillsynsmail/A 18713-2024 tillsynsbegäran mail.docx", "A 18713-2024")</f>
        <v/>
      </c>
    </row>
    <row r="17" ht="15" customHeight="1">
      <c r="A17" t="inlineStr">
        <is>
          <t>A 74008-2021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44553</v>
      </c>
      <c r="E17" s="1" t="n">
        <v>46268</v>
      </c>
      <c r="F17" t="inlineStr">
        <is>
          <t>SKÅNE LÄN</t>
        </is>
      </c>
      <c r="G17" t="inlineStr">
        <is>
          <t>ESLÖV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18872-2022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44690</v>
      </c>
      <c r="E18" s="1" t="n">
        <v>46268</v>
      </c>
      <c r="F18" t="inlineStr">
        <is>
          <t>SKÅNE LÄN</t>
        </is>
      </c>
      <c r="G18" t="inlineStr">
        <is>
          <t>ESLÖV</t>
        </is>
      </c>
      <c r="I18" t="n">
        <v>1.4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47870-2025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45932</v>
      </c>
      <c r="E19" s="1" t="n">
        <v>46268</v>
      </c>
      <c r="F19" t="inlineStr">
        <is>
          <t>SKÅNE LÄN</t>
        </is>
      </c>
      <c r="G19" t="inlineStr">
        <is>
          <t>ESLÖV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16792-2024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45411</v>
      </c>
      <c r="E20" s="1" t="n">
        <v>46268</v>
      </c>
      <c r="F20" t="inlineStr">
        <is>
          <t>SKÅNE LÄN</t>
        </is>
      </c>
      <c r="G20" t="inlineStr">
        <is>
          <t>ESLÖV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16733-2023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45030</v>
      </c>
      <c r="E21" s="1" t="n">
        <v>46268</v>
      </c>
      <c r="F21" t="inlineStr">
        <is>
          <t>SKÅNE LÄN</t>
        </is>
      </c>
      <c r="G21" t="inlineStr">
        <is>
          <t>ESLÖV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28088-2025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45817</v>
      </c>
      <c r="E22" s="1" t="n">
        <v>46268</v>
      </c>
      <c r="F22" t="inlineStr">
        <is>
          <t>SKÅNE LÄN</t>
        </is>
      </c>
      <c r="G22" t="inlineStr">
        <is>
          <t>ESLÖV</t>
        </is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5812-2022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44596</v>
      </c>
      <c r="E23" s="1" t="n">
        <v>46268</v>
      </c>
      <c r="F23" t="inlineStr">
        <is>
          <t>SKÅNE LÄN</t>
        </is>
      </c>
      <c r="G23" t="inlineStr">
        <is>
          <t>ESLÖV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47356-2025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45930</v>
      </c>
      <c r="E24" s="1" t="n">
        <v>46268</v>
      </c>
      <c r="F24" t="inlineStr">
        <is>
          <t>SKÅNE LÄN</t>
        </is>
      </c>
      <c r="G24" t="inlineStr">
        <is>
          <t>ESLÖV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15467-2025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45747</v>
      </c>
      <c r="E25" s="1" t="n">
        <v>46268</v>
      </c>
      <c r="F25" t="inlineStr">
        <is>
          <t>SKÅNE LÄN</t>
        </is>
      </c>
      <c r="G25" t="inlineStr">
        <is>
          <t>ESLÖV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5869-2023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44958</v>
      </c>
      <c r="E26" s="1" t="n">
        <v>46268</v>
      </c>
      <c r="F26" t="inlineStr">
        <is>
          <t>SKÅNE LÄN</t>
        </is>
      </c>
      <c r="G26" t="inlineStr">
        <is>
          <t>ESLÖV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58721-2025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45986</v>
      </c>
      <c r="E27" s="1" t="n">
        <v>46268</v>
      </c>
      <c r="F27" t="inlineStr">
        <is>
          <t>SKÅNE LÄN</t>
        </is>
      </c>
      <c r="G27" t="inlineStr">
        <is>
          <t>ESLÖV</t>
        </is>
      </c>
      <c r="I27" t="n">
        <v>2.2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7409-2025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45705</v>
      </c>
      <c r="E28" s="1" t="n">
        <v>46268</v>
      </c>
      <c r="F28" t="inlineStr">
        <is>
          <t>SKÅNE LÄN</t>
        </is>
      </c>
      <c r="G28" t="inlineStr">
        <is>
          <t>ESLÖV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9686-2023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44984</v>
      </c>
      <c r="E29" s="1" t="n">
        <v>46268</v>
      </c>
      <c r="F29" t="inlineStr">
        <is>
          <t>SKÅNE LÄN</t>
        </is>
      </c>
      <c r="G29" t="inlineStr">
        <is>
          <t>ESLÖV</t>
        </is>
      </c>
      <c r="I29" t="n">
        <v>0.8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35996-2025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46268</v>
      </c>
      <c r="F30" t="inlineStr">
        <is>
          <t>SKÅNE LÄN</t>
        </is>
      </c>
      <c r="G30" t="inlineStr">
        <is>
          <t>ESLÖV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35997-2025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46268</v>
      </c>
      <c r="F31" t="inlineStr">
        <is>
          <t>SKÅNE LÄN</t>
        </is>
      </c>
      <c r="G31" t="inlineStr">
        <is>
          <t>ESLÖV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7016-2025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45701</v>
      </c>
      <c r="E32" s="1" t="n">
        <v>46268</v>
      </c>
      <c r="F32" t="inlineStr">
        <is>
          <t>SKÅNE LÄN</t>
        </is>
      </c>
      <c r="G32" t="inlineStr">
        <is>
          <t>ESLÖV</t>
        </is>
      </c>
      <c r="H32" t="inlineStr">
        <is>
          <t>Sveaskog</t>
        </is>
      </c>
      <c r="I32" t="n">
        <v>2.3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9849-2026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46072</v>
      </c>
      <c r="E33" s="1" t="n">
        <v>46268</v>
      </c>
      <c r="F33" t="inlineStr">
        <is>
          <t>SKÅNE LÄN</t>
        </is>
      </c>
      <c r="G33" t="inlineStr">
        <is>
          <t>ESLÖV</t>
        </is>
      </c>
      <c r="I33" t="n">
        <v>2.5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24115-2022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44725</v>
      </c>
      <c r="E34" s="1" t="n">
        <v>46268</v>
      </c>
      <c r="F34" t="inlineStr">
        <is>
          <t>SKÅNE LÄN</t>
        </is>
      </c>
      <c r="G34" t="inlineStr">
        <is>
          <t>ESLÖV</t>
        </is>
      </c>
      <c r="I34" t="n">
        <v>4.4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25388-2023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45089</v>
      </c>
      <c r="E35" s="1" t="n">
        <v>46268</v>
      </c>
      <c r="F35" t="inlineStr">
        <is>
          <t>SKÅNE LÄN</t>
        </is>
      </c>
      <c r="G35" t="inlineStr">
        <is>
          <t>ESLÖV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14386-2026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46100</v>
      </c>
      <c r="E36" s="1" t="n">
        <v>46268</v>
      </c>
      <c r="F36" t="inlineStr">
        <is>
          <t>SKÅNE LÄN</t>
        </is>
      </c>
      <c r="G36" t="inlineStr">
        <is>
          <t>ESLÖV</t>
        </is>
      </c>
      <c r="I36" t="n">
        <v>12.4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12079-2024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45377</v>
      </c>
      <c r="E37" s="1" t="n">
        <v>46268</v>
      </c>
      <c r="F37" t="inlineStr">
        <is>
          <t>SKÅNE LÄN</t>
        </is>
      </c>
      <c r="G37" t="inlineStr">
        <is>
          <t>ESLÖV</t>
        </is>
      </c>
      <c r="I37" t="n">
        <v>6.9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11204-2023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44992</v>
      </c>
      <c r="E38" s="1" t="n">
        <v>46268</v>
      </c>
      <c r="F38" t="inlineStr">
        <is>
          <t>SKÅNE LÄN</t>
        </is>
      </c>
      <c r="G38" t="inlineStr">
        <is>
          <t>ESLÖV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18281-2026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46125</v>
      </c>
      <c r="E39" s="1" t="n">
        <v>46268</v>
      </c>
      <c r="F39" t="inlineStr">
        <is>
          <t>SKÅNE LÄN</t>
        </is>
      </c>
      <c r="G39" t="inlineStr">
        <is>
          <t>ESLÖV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9482-2023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44981</v>
      </c>
      <c r="E40" s="1" t="n">
        <v>46268</v>
      </c>
      <c r="F40" t="inlineStr">
        <is>
          <t>SKÅNE LÄN</t>
        </is>
      </c>
      <c r="G40" t="inlineStr">
        <is>
          <t>ESLÖV</t>
        </is>
      </c>
      <c r="I40" t="n">
        <v>3.7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45401</v>
      </c>
      <c r="E41" s="1" t="n">
        <v>46268</v>
      </c>
      <c r="F41" t="inlineStr">
        <is>
          <t>SKÅNE LÄN</t>
        </is>
      </c>
      <c r="G41" t="inlineStr">
        <is>
          <t>ESLÖV</t>
        </is>
      </c>
      <c r="I41" t="n">
        <v>7.5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62496-2023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45268</v>
      </c>
      <c r="E42" s="1" t="n">
        <v>46268</v>
      </c>
      <c r="F42" t="inlineStr">
        <is>
          <t>SKÅNE LÄN</t>
        </is>
      </c>
      <c r="G42" t="inlineStr">
        <is>
          <t>ESLÖV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25385-2023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45089</v>
      </c>
      <c r="E43" s="1" t="n">
        <v>46268</v>
      </c>
      <c r="F43" t="inlineStr">
        <is>
          <t>SKÅNE LÄN</t>
        </is>
      </c>
      <c r="G43" t="inlineStr">
        <is>
          <t>ESLÖV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34170-2023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45138</v>
      </c>
      <c r="E44" s="1" t="n">
        <v>46268</v>
      </c>
      <c r="F44" t="inlineStr">
        <is>
          <t>SKÅNE LÄN</t>
        </is>
      </c>
      <c r="G44" t="inlineStr">
        <is>
          <t>ESLÖV</t>
        </is>
      </c>
      <c r="I44" t="n">
        <v>5.8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15357-2023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45019</v>
      </c>
      <c r="E45" s="1" t="n">
        <v>46268</v>
      </c>
      <c r="F45" t="inlineStr">
        <is>
          <t>SKÅNE LÄN</t>
        </is>
      </c>
      <c r="G45" t="inlineStr">
        <is>
          <t>ESLÖV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36761-2022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44805</v>
      </c>
      <c r="E46" s="1" t="n">
        <v>46268</v>
      </c>
      <c r="F46" t="inlineStr">
        <is>
          <t>SKÅNE LÄN</t>
        </is>
      </c>
      <c r="G46" t="inlineStr">
        <is>
          <t>ESLÖV</t>
        </is>
      </c>
      <c r="I46" t="n">
        <v>4.8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22134-2026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46153</v>
      </c>
      <c r="E47" s="1" t="n">
        <v>46268</v>
      </c>
      <c r="F47" t="inlineStr">
        <is>
          <t>SKÅNE LÄN</t>
        </is>
      </c>
      <c r="G47" t="inlineStr">
        <is>
          <t>ESLÖV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18503-2026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46127</v>
      </c>
      <c r="E48" s="1" t="n">
        <v>46268</v>
      </c>
      <c r="F48" t="inlineStr">
        <is>
          <t>SKÅNE LÄN</t>
        </is>
      </c>
      <c r="G48" t="inlineStr">
        <is>
          <t>ESLÖV</t>
        </is>
      </c>
      <c r="I48" t="n">
        <v>4.9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34468-2023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45139</v>
      </c>
      <c r="E49" s="1" t="n">
        <v>46268</v>
      </c>
      <c r="F49" t="inlineStr">
        <is>
          <t>SKÅNE LÄN</t>
        </is>
      </c>
      <c r="G49" t="inlineStr">
        <is>
          <t>ESLÖV</t>
        </is>
      </c>
      <c r="I49" t="n">
        <v>5.5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10819-2026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46078</v>
      </c>
      <c r="E50" s="1" t="n">
        <v>46268</v>
      </c>
      <c r="F50" t="inlineStr">
        <is>
          <t>SKÅNE LÄN</t>
        </is>
      </c>
      <c r="G50" t="inlineStr">
        <is>
          <t>ESLÖV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1574-2024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45306</v>
      </c>
      <c r="E51" s="1" t="n">
        <v>46268</v>
      </c>
      <c r="F51" t="inlineStr">
        <is>
          <t>SKÅNE LÄN</t>
        </is>
      </c>
      <c r="G51" t="inlineStr">
        <is>
          <t>ESLÖV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25730-2026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46178</v>
      </c>
      <c r="E52" s="1" t="n">
        <v>46268</v>
      </c>
      <c r="F52" t="inlineStr">
        <is>
          <t>SKÅNE LÄN</t>
        </is>
      </c>
      <c r="G52" t="inlineStr">
        <is>
          <t>ESLÖV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46268</v>
      </c>
      <c r="F53" t="inlineStr">
        <is>
          <t>SKÅNE LÄN</t>
        </is>
      </c>
      <c r="G53" t="inlineStr">
        <is>
          <t>ESLÖV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26169-2026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46181</v>
      </c>
      <c r="E54" s="1" t="n">
        <v>46268</v>
      </c>
      <c r="F54" t="inlineStr">
        <is>
          <t>SKÅNE LÄN</t>
        </is>
      </c>
      <c r="G54" t="inlineStr">
        <is>
          <t>ESLÖV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26497-2026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46183</v>
      </c>
      <c r="E55" s="1" t="n">
        <v>46268</v>
      </c>
      <c r="F55" t="inlineStr">
        <is>
          <t>SKÅNE LÄN</t>
        </is>
      </c>
      <c r="G55" t="inlineStr">
        <is>
          <t>ESLÖV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27439-2026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46189</v>
      </c>
      <c r="E56" s="1" t="n">
        <v>46268</v>
      </c>
      <c r="F56" t="inlineStr">
        <is>
          <t>SKÅNE LÄN</t>
        </is>
      </c>
      <c r="G56" t="inlineStr">
        <is>
          <t>ESLÖV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27428-2026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46189</v>
      </c>
      <c r="E57" s="1" t="n">
        <v>46268</v>
      </c>
      <c r="F57" t="inlineStr">
        <is>
          <t>SKÅNE LÄN</t>
        </is>
      </c>
      <c r="G57" t="inlineStr">
        <is>
          <t>ESLÖV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27435-2026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46189</v>
      </c>
      <c r="E58" s="1" t="n">
        <v>46268</v>
      </c>
      <c r="F58" t="inlineStr">
        <is>
          <t>SKÅNE LÄN</t>
        </is>
      </c>
      <c r="G58" t="inlineStr">
        <is>
          <t>ESLÖV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10940-2024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45370</v>
      </c>
      <c r="E59" s="1" t="n">
        <v>46268</v>
      </c>
      <c r="F59" t="inlineStr">
        <is>
          <t>SKÅNE LÄN</t>
        </is>
      </c>
      <c r="G59" t="inlineStr">
        <is>
          <t>ESLÖV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11221-2024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45371</v>
      </c>
      <c r="E60" s="1" t="n">
        <v>46268</v>
      </c>
      <c r="F60" t="inlineStr">
        <is>
          <t>SKÅNE LÄN</t>
        </is>
      </c>
      <c r="G60" t="inlineStr">
        <is>
          <t>ESLÖV</t>
        </is>
      </c>
      <c r="I60" t="n">
        <v>0.3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43808-2024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45571</v>
      </c>
      <c r="E61" s="1" t="n">
        <v>46268</v>
      </c>
      <c r="F61" t="inlineStr">
        <is>
          <t>SKÅNE LÄN</t>
        </is>
      </c>
      <c r="G61" t="inlineStr">
        <is>
          <t>ESLÖV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9484-2023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44981</v>
      </c>
      <c r="E62" s="1" t="n">
        <v>46268</v>
      </c>
      <c r="F62" t="inlineStr">
        <is>
          <t>SKÅNE LÄN</t>
        </is>
      </c>
      <c r="G62" t="inlineStr">
        <is>
          <t>ESLÖV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44496-2023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45189</v>
      </c>
      <c r="E63" s="1" t="n">
        <v>46268</v>
      </c>
      <c r="F63" t="inlineStr">
        <is>
          <t>SKÅNE LÄN</t>
        </is>
      </c>
      <c r="G63" t="inlineStr">
        <is>
          <t>ESLÖV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33865-2024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45520</v>
      </c>
      <c r="E64" s="1" t="n">
        <v>46268</v>
      </c>
      <c r="F64" t="inlineStr">
        <is>
          <t>SKÅNE LÄN</t>
        </is>
      </c>
      <c r="G64" t="inlineStr">
        <is>
          <t>ESLÖV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16670-2025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45754</v>
      </c>
      <c r="E65" s="1" t="n">
        <v>46268</v>
      </c>
      <c r="F65" t="inlineStr">
        <is>
          <t>SKÅNE LÄN</t>
        </is>
      </c>
      <c r="G65" t="inlineStr">
        <is>
          <t>ESLÖV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34466-2023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45139</v>
      </c>
      <c r="E66" s="1" t="n">
        <v>46268</v>
      </c>
      <c r="F66" t="inlineStr">
        <is>
          <t>SKÅNE LÄN</t>
        </is>
      </c>
      <c r="G66" t="inlineStr">
        <is>
          <t>ESLÖV</t>
        </is>
      </c>
      <c r="I66" t="n">
        <v>4.3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38173-2023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46268</v>
      </c>
      <c r="F67" t="inlineStr">
        <is>
          <t>SKÅNE LÄN</t>
        </is>
      </c>
      <c r="G67" t="inlineStr">
        <is>
          <t>ESLÖV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25508-2023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45089</v>
      </c>
      <c r="E68" s="1" t="n">
        <v>46268</v>
      </c>
      <c r="F68" t="inlineStr">
        <is>
          <t>SKÅNE LÄN</t>
        </is>
      </c>
      <c r="G68" t="inlineStr">
        <is>
          <t>ESLÖV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49137-2024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45594</v>
      </c>
      <c r="E69" s="1" t="n">
        <v>46268</v>
      </c>
      <c r="F69" t="inlineStr">
        <is>
          <t>SKÅNE LÄN</t>
        </is>
      </c>
      <c r="G69" t="inlineStr">
        <is>
          <t>ESLÖV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>
      <c r="A70" t="inlineStr">
        <is>
          <t>A 32984-2024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45517</v>
      </c>
      <c r="E70" s="1" t="n">
        <v>46268</v>
      </c>
      <c r="F70" t="inlineStr">
        <is>
          <t>SKÅNE LÄN</t>
        </is>
      </c>
      <c r="G70" t="inlineStr">
        <is>
          <t>ESLÖV</t>
        </is>
      </c>
      <c r="I70" t="n">
        <v>2.9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2026-09-03T02:07:22Z</dcterms:created>
  <dcterms:modified xmlns:dcterms="http://purl.org/dc/terms/" xmlns:xsi="http://www.w3.org/2001/XMLSchema-instance" xsi:type="dcterms:W3CDTF">2026-09-03T02:07:22Z</dcterms:modified>
</cp:coreProperties>
</file>