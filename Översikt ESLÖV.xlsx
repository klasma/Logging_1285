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46219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46219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46219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46219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46219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46219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23773-2025 artfynd.xlsx", "A 23773-2025")</f>
        <v/>
      </c>
      <c r="W7">
        <f>HYPERLINK("https://klasma.github.io/Logging_1285/kartor/A 23773-2025 karta.png", "A 23773-2025")</f>
        <v/>
      </c>
      <c r="Y7">
        <f>HYPERLINK("https://klasma.github.io/Logging_1285/klagomål/A 23773-2025 FSC-klagomål.docx", "A 23773-2025")</f>
        <v/>
      </c>
      <c r="Z7">
        <f>HYPERLINK("https://klasma.github.io/Logging_1285/klagomålsmail/A 23773-2025 FSC-klagomål mail.docx", "A 23773-2025")</f>
        <v/>
      </c>
      <c r="AA7">
        <f>HYPERLINK("https://klasma.github.io/Logging_1285/tillsyn/A 23773-2025 tillsynsbegäran.docx", "A 23773-2025")</f>
        <v/>
      </c>
      <c r="AB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46219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s="2" t="inlineStr">
        <is>
          <t>Ask
Kransrams</t>
        </is>
      </c>
      <c r="V8">
        <f>HYPERLINK("https://klasma.github.io/Logging_1285/artfynd/A 14395-2026 artfynd.xlsx", "A 14395-2026")</f>
        <v/>
      </c>
      <c r="W8">
        <f>HYPERLINK("https://klasma.github.io/Logging_1285/kartor/A 14395-2026 karta.png", "A 14395-2026")</f>
        <v/>
      </c>
      <c r="Y8">
        <f>HYPERLINK("https://klasma.github.io/Logging_1285/klagomål/A 14395-2026 FSC-klagomål.docx", "A 14395-2026")</f>
        <v/>
      </c>
      <c r="Z8">
        <f>HYPERLINK("https://klasma.github.io/Logging_1285/klagomålsmail/A 14395-2026 FSC-klagomål mail.docx", "A 14395-2026")</f>
        <v/>
      </c>
      <c r="AA8">
        <f>HYPERLINK("https://klasma.github.io/Logging_1285/tillsyn/A 14395-2026 tillsynsbegäran.docx", "A 14395-2026")</f>
        <v/>
      </c>
      <c r="AB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46219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Älg
Kambräken</t>
        </is>
      </c>
      <c r="V9">
        <f>HYPERLINK("https://klasma.github.io/Logging_1285/artfynd/A 9487-2023 artfynd.xlsx", "A 9487-2023")</f>
        <v/>
      </c>
      <c r="W9">
        <f>HYPERLINK("https://klasma.github.io/Logging_1285/kartor/A 9487-2023 karta.png", "A 9487-2023")</f>
        <v/>
      </c>
      <c r="Y9">
        <f>HYPERLINK("https://klasma.github.io/Logging_1285/klagomål/A 9487-2023 FSC-klagomål.docx", "A 9487-2023")</f>
        <v/>
      </c>
      <c r="Z9">
        <f>HYPERLINK("https://klasma.github.io/Logging_1285/klagomålsmail/A 9487-2023 FSC-klagomål mail.docx", "A 9487-2023")</f>
        <v/>
      </c>
      <c r="AA9">
        <f>HYPERLINK("https://klasma.github.io/Logging_1285/tillsyn/A 9487-2023 tillsynsbegäran.docx", "A 9487-2023")</f>
        <v/>
      </c>
      <c r="AB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46219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Svart stork</t>
        </is>
      </c>
      <c r="V10">
        <f>HYPERLINK("https://klasma.github.io/Logging_1285/artfynd/A 1510-2024 artfynd.xlsx", "A 1510-2024")</f>
        <v/>
      </c>
      <c r="W10">
        <f>HYPERLINK("https://klasma.github.io/Logging_1285/kartor/A 1510-2024 karta.png", "A 1510-2024")</f>
        <v/>
      </c>
      <c r="Y10">
        <f>HYPERLINK("https://klasma.github.io/Logging_1285/klagomål/A 1510-2024 FSC-klagomål.docx", "A 1510-2024")</f>
        <v/>
      </c>
      <c r="Z10">
        <f>HYPERLINK("https://klasma.github.io/Logging_1285/klagomålsmail/A 1510-2024 FSC-klagomål mail.docx", "A 1510-2024")</f>
        <v/>
      </c>
      <c r="AA10">
        <f>HYPERLINK("https://klasma.github.io/Logging_1285/tillsyn/A 1510-2024 tillsynsbegäran.docx", "A 1510-2024")</f>
        <v/>
      </c>
      <c r="AB10">
        <f>HYPERLINK("https://klasma.github.io/Logging_1285/tillsynsmail/A 1510-2024 tillsynsbegäran mail.docx", "A 1510-2024")</f>
        <v/>
      </c>
      <c r="AC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46219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Grönfläckig padda</t>
        </is>
      </c>
      <c r="V11">
        <f>HYPERLINK("https://klasma.github.io/Logging_1285/artfynd/A 52652-2023 artfynd.xlsx", "A 52652-2023")</f>
        <v/>
      </c>
      <c r="W11">
        <f>HYPERLINK("https://klasma.github.io/Logging_1285/kartor/A 52652-2023 karta.png", "A 52652-2023")</f>
        <v/>
      </c>
      <c r="Y11">
        <f>HYPERLINK("https://klasma.github.io/Logging_1285/klagomål/A 52652-2023 FSC-klagomål.docx", "A 52652-2023")</f>
        <v/>
      </c>
      <c r="Z11">
        <f>HYPERLINK("https://klasma.github.io/Logging_1285/klagomålsmail/A 52652-2023 FSC-klagomål mail.docx", "A 52652-2023")</f>
        <v/>
      </c>
      <c r="AA11">
        <f>HYPERLINK("https://klasma.github.io/Logging_1285/tillsyn/A 52652-2023 tillsynsbegäran.docx", "A 52652-2023")</f>
        <v/>
      </c>
      <c r="AB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46219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Gråtrut</t>
        </is>
      </c>
      <c r="V12">
        <f>HYPERLINK("https://klasma.github.io/Logging_1285/artfynd/A 18713-2024 artfynd.xlsx", "A 18713-2024")</f>
        <v/>
      </c>
      <c r="W12">
        <f>HYPERLINK("https://klasma.github.io/Logging_1285/kartor/A 18713-2024 karta.png", "A 18713-2024")</f>
        <v/>
      </c>
      <c r="Y12">
        <f>HYPERLINK("https://klasma.github.io/Logging_1285/klagomål/A 18713-2024 FSC-klagomål.docx", "A 18713-2024")</f>
        <v/>
      </c>
      <c r="Z12">
        <f>HYPERLINK("https://klasma.github.io/Logging_1285/klagomålsmail/A 18713-2024 FSC-klagomål mail.docx", "A 18713-2024")</f>
        <v/>
      </c>
      <c r="AA12">
        <f>HYPERLINK("https://klasma.github.io/Logging_1285/tillsyn/A 18713-2024 tillsynsbegäran.docx", "A 18713-2024")</f>
        <v/>
      </c>
      <c r="AB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46219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HYPERLINK("https://klasma.github.io/Logging_1285/artfynd/A 24809-2025 artfynd.xlsx", "A 24809-2025")</f>
        <v/>
      </c>
      <c r="W13">
        <f>HYPERLINK("https://klasma.github.io/Logging_1285/kartor/A 24809-2025 karta.png", "A 24809-2025")</f>
        <v/>
      </c>
      <c r="Y13">
        <f>HYPERLINK("https://klasma.github.io/Logging_1285/klagomål/A 24809-2025 FSC-klagomål.docx", "A 24809-2025")</f>
        <v/>
      </c>
      <c r="Z13">
        <f>HYPERLINK("https://klasma.github.io/Logging_1285/klagomålsmail/A 24809-2025 FSC-klagomål mail.docx", "A 24809-2025")</f>
        <v/>
      </c>
      <c r="AA13">
        <f>HYPERLINK("https://klasma.github.io/Logging_1285/tillsyn/A 24809-2025 tillsynsbegäran.docx", "A 24809-2025")</f>
        <v/>
      </c>
      <c r="AB13">
        <f>HYPERLINK("https://klasma.github.io/Logging_1285/tillsynsmail/A 24809-2025 tillsynsbegäran mail.docx", "A 24809-2025")</f>
        <v/>
      </c>
      <c r="AC13">
        <f>HYPERLINK("https://klasma.github.io/Logging_1285/fåglar/A 24809-2025 prioriterade fågelarter.docx", "A 24809-2025")</f>
        <v/>
      </c>
    </row>
    <row r="14" ht="15" customHeight="1">
      <c r="A14" t="inlineStr">
        <is>
          <t>A 27443-2026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46189</v>
      </c>
      <c r="E14" s="1" t="n">
        <v>46219</v>
      </c>
      <c r="F14" t="inlineStr">
        <is>
          <t>SKÅNE LÄN</t>
        </is>
      </c>
      <c r="G14" t="inlineStr">
        <is>
          <t>ESLÖV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Slåttergubbe</t>
        </is>
      </c>
      <c r="V14">
        <f>HYPERLINK("https://klasma.github.io/Logging_1285/artfynd/A 27443-2026 artfynd.xlsx", "A 27443-2026")</f>
        <v/>
      </c>
      <c r="W14">
        <f>HYPERLINK("https://klasma.github.io/Logging_1285/kartor/A 27443-2026 karta.png", "A 27443-2026")</f>
        <v/>
      </c>
      <c r="Y14">
        <f>HYPERLINK("https://klasma.github.io/Logging_1285/klagomål/A 27443-2026 FSC-klagomål.docx", "A 27443-2026")</f>
        <v/>
      </c>
      <c r="Z14">
        <f>HYPERLINK("https://klasma.github.io/Logging_1285/klagomålsmail/A 27443-2026 FSC-klagomål mail.docx", "A 27443-2026")</f>
        <v/>
      </c>
      <c r="AA14">
        <f>HYPERLINK("https://klasma.github.io/Logging_1285/tillsyn/A 27443-2026 tillsynsbegäran.docx", "A 27443-2026")</f>
        <v/>
      </c>
      <c r="AB14">
        <f>HYPERLINK("https://klasma.github.io/Logging_1285/tillsynsmail/A 27443-2026 tillsynsbegäran mail.docx", "A 27443-2026")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46219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Gullpudra</t>
        </is>
      </c>
      <c r="V15">
        <f>HYPERLINK("https://klasma.github.io/Logging_1285/artfynd/A 61035-2024 artfynd.xlsx", "A 61035-2024")</f>
        <v/>
      </c>
      <c r="W15">
        <f>HYPERLINK("https://klasma.github.io/Logging_1285/kartor/A 61035-2024 karta.png", "A 61035-2024")</f>
        <v/>
      </c>
      <c r="Y15">
        <f>HYPERLINK("https://klasma.github.io/Logging_1285/klagomål/A 61035-2024 FSC-klagomål.docx", "A 61035-2024")</f>
        <v/>
      </c>
      <c r="Z15">
        <f>HYPERLINK("https://klasma.github.io/Logging_1285/klagomålsmail/A 61035-2024 FSC-klagomål mail.docx", "A 61035-2024")</f>
        <v/>
      </c>
      <c r="AA15">
        <f>HYPERLINK("https://klasma.github.io/Logging_1285/tillsyn/A 61035-2024 tillsynsbegäran.docx", "A 61035-2024")</f>
        <v/>
      </c>
      <c r="AB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46219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46219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44496-2023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46219</v>
      </c>
      <c r="F18" t="inlineStr">
        <is>
          <t>SKÅNE LÄN</t>
        </is>
      </c>
      <c r="G18" t="inlineStr">
        <is>
          <t>ESLÖV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11204-2023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44992</v>
      </c>
      <c r="E19" s="1" t="n">
        <v>46219</v>
      </c>
      <c r="F19" t="inlineStr">
        <is>
          <t>SKÅNE LÄN</t>
        </is>
      </c>
      <c r="G19" t="inlineStr">
        <is>
          <t>ESLÖV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12079-2024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46219</v>
      </c>
      <c r="F20" t="inlineStr">
        <is>
          <t>SKÅNE LÄN</t>
        </is>
      </c>
      <c r="G20" t="inlineStr">
        <is>
          <t>ESLÖV</t>
        </is>
      </c>
      <c r="I20" t="n">
        <v>6.9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15533-2024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46219</v>
      </c>
      <c r="F21" t="inlineStr">
        <is>
          <t>SKÅNE LÄN</t>
        </is>
      </c>
      <c r="G21" t="inlineStr">
        <is>
          <t>ESLÖV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46219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45747</v>
      </c>
      <c r="E23" s="1" t="n">
        <v>46219</v>
      </c>
      <c r="F23" t="inlineStr">
        <is>
          <t>SKÅNE LÄN</t>
        </is>
      </c>
      <c r="G23" t="inlineStr">
        <is>
          <t>ESLÖV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25508-2023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46219</v>
      </c>
      <c r="F24" t="inlineStr">
        <is>
          <t>SKÅNE LÄN</t>
        </is>
      </c>
      <c r="G24" t="inlineStr">
        <is>
          <t>ESLÖV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9686-2023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46219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46219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34466-2023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45139</v>
      </c>
      <c r="E27" s="1" t="n">
        <v>46219</v>
      </c>
      <c r="F27" t="inlineStr">
        <is>
          <t>SKÅNE LÄN</t>
        </is>
      </c>
      <c r="G27" t="inlineStr">
        <is>
          <t>ESLÖV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46219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9482-2023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44981</v>
      </c>
      <c r="E29" s="1" t="n">
        <v>46219</v>
      </c>
      <c r="F29" t="inlineStr">
        <is>
          <t>SKÅNE LÄN</t>
        </is>
      </c>
      <c r="G29" t="inlineStr">
        <is>
          <t>ESLÖV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25385-2023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46219</v>
      </c>
      <c r="F30" t="inlineStr">
        <is>
          <t>SKÅNE LÄN</t>
        </is>
      </c>
      <c r="G30" t="inlineStr">
        <is>
          <t>ESLÖV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33865-2024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45520</v>
      </c>
      <c r="E31" s="1" t="n">
        <v>46219</v>
      </c>
      <c r="F31" t="inlineStr">
        <is>
          <t>SKÅNE LÄN</t>
        </is>
      </c>
      <c r="G31" t="inlineStr">
        <is>
          <t>ESLÖV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36761-2022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46219</v>
      </c>
      <c r="F32" t="inlineStr">
        <is>
          <t>SKÅNE LÄN</t>
        </is>
      </c>
      <c r="G32" t="inlineStr">
        <is>
          <t>ESLÖV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46219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47356-2025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46219</v>
      </c>
      <c r="F34" t="inlineStr">
        <is>
          <t>SKÅNE LÄN</t>
        </is>
      </c>
      <c r="G34" t="inlineStr">
        <is>
          <t>ESLÖV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46219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18503-2026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46127</v>
      </c>
      <c r="E36" s="1" t="n">
        <v>46219</v>
      </c>
      <c r="F36" t="inlineStr">
        <is>
          <t>SKÅNE LÄN</t>
        </is>
      </c>
      <c r="G36" t="inlineStr">
        <is>
          <t>ESLÖV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35996-2025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46219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35997-2025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46219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10940-2024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46219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46219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10819-2026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46219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1574-2024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46219</v>
      </c>
      <c r="F42" t="inlineStr">
        <is>
          <t>SKÅNE LÄN</t>
        </is>
      </c>
      <c r="G42" t="inlineStr">
        <is>
          <t>ESLÖV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38173-2023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46219</v>
      </c>
      <c r="F43" t="inlineStr">
        <is>
          <t>SKÅNE LÄN</t>
        </is>
      </c>
      <c r="G43" t="inlineStr">
        <is>
          <t>ESLÖV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46219</v>
      </c>
      <c r="F44" t="inlineStr">
        <is>
          <t>SKÅNE LÄN</t>
        </is>
      </c>
      <c r="G44" t="inlineStr">
        <is>
          <t>ESLÖV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46219</v>
      </c>
      <c r="F45" t="inlineStr">
        <is>
          <t>SKÅNE LÄN</t>
        </is>
      </c>
      <c r="G45" t="inlineStr">
        <is>
          <t>ESLÖV</t>
        </is>
      </c>
      <c r="H45" t="inlineStr">
        <is>
          <t>Sveaskog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47870-2025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46219</v>
      </c>
      <c r="F46" t="inlineStr">
        <is>
          <t>SKÅNE LÄN</t>
        </is>
      </c>
      <c r="G46" t="inlineStr">
        <is>
          <t>ESLÖV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49137-2024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46219</v>
      </c>
      <c r="F47" t="inlineStr">
        <is>
          <t>SKÅNE LÄN</t>
        </is>
      </c>
      <c r="G47" t="inlineStr">
        <is>
          <t>ESLÖV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58721-2025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45986</v>
      </c>
      <c r="E48" s="1" t="n">
        <v>46219</v>
      </c>
      <c r="F48" t="inlineStr">
        <is>
          <t>SKÅNE LÄN</t>
        </is>
      </c>
      <c r="G48" t="inlineStr">
        <is>
          <t>ESLÖV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32984-2024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45517</v>
      </c>
      <c r="E49" s="1" t="n">
        <v>46219</v>
      </c>
      <c r="F49" t="inlineStr">
        <is>
          <t>SKÅNE LÄN</t>
        </is>
      </c>
      <c r="G49" t="inlineStr">
        <is>
          <t>ESLÖV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16670-2025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46219</v>
      </c>
      <c r="F50" t="inlineStr">
        <is>
          <t>SKÅNE LÄN</t>
        </is>
      </c>
      <c r="G50" t="inlineStr">
        <is>
          <t>ESLÖV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46219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9849-2026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46072</v>
      </c>
      <c r="E52" s="1" t="n">
        <v>46219</v>
      </c>
      <c r="F52" t="inlineStr">
        <is>
          <t>SKÅNE LÄN</t>
        </is>
      </c>
      <c r="G52" t="inlineStr">
        <is>
          <t>ESLÖV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10111-2026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46074</v>
      </c>
      <c r="E53" s="1" t="n">
        <v>46219</v>
      </c>
      <c r="F53" t="inlineStr">
        <is>
          <t>SKÅNE LÄN</t>
        </is>
      </c>
      <c r="G53" t="inlineStr">
        <is>
          <t>ESLÖV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14013-2026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46219</v>
      </c>
      <c r="F54" t="inlineStr">
        <is>
          <t>SKÅNE LÄN</t>
        </is>
      </c>
      <c r="G54" t="inlineStr">
        <is>
          <t>ESLÖV</t>
        </is>
      </c>
      <c r="H54" t="inlineStr">
        <is>
          <t>Sveaskog</t>
        </is>
      </c>
      <c r="I54" t="n">
        <v>8.800000000000001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62496-2023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45268</v>
      </c>
      <c r="E55" s="1" t="n">
        <v>46219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16792-2024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46219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14386-2026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46219</v>
      </c>
      <c r="F57" t="inlineStr">
        <is>
          <t>SKÅNE LÄN</t>
        </is>
      </c>
      <c r="G57" t="inlineStr">
        <is>
          <t>ESLÖV</t>
        </is>
      </c>
      <c r="I57" t="n">
        <v>12.4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46219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18281-2026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46219</v>
      </c>
      <c r="F59" t="inlineStr">
        <is>
          <t>SKÅNE LÄN</t>
        </is>
      </c>
      <c r="G59" t="inlineStr">
        <is>
          <t>ESLÖV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24115-2022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46219</v>
      </c>
      <c r="F60" t="inlineStr">
        <is>
          <t>SKÅNE LÄN</t>
        </is>
      </c>
      <c r="G60" t="inlineStr">
        <is>
          <t>ESLÖV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28088-2025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46219</v>
      </c>
      <c r="F61" t="inlineStr">
        <is>
          <t>SKÅNE LÄN</t>
        </is>
      </c>
      <c r="G61" t="inlineStr">
        <is>
          <t>ESLÖV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25730-2026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46219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46219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9484-2023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46219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16733-2023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45030</v>
      </c>
      <c r="E65" s="1" t="n">
        <v>46219</v>
      </c>
      <c r="F65" t="inlineStr">
        <is>
          <t>SKÅNE LÄN</t>
        </is>
      </c>
      <c r="G65" t="inlineStr">
        <is>
          <t>ESLÖV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46219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46219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46219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27435-2026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46219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27439-2026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46219</v>
      </c>
      <c r="F70" t="inlineStr">
        <is>
          <t>SKÅNE LÄN</t>
        </is>
      </c>
      <c r="G70" t="inlineStr">
        <is>
          <t>ESLÖV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22134-2026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46153</v>
      </c>
      <c r="E71" s="1" t="n">
        <v>46219</v>
      </c>
      <c r="F71" t="inlineStr">
        <is>
          <t>SKÅNE LÄN</t>
        </is>
      </c>
      <c r="G71" t="inlineStr">
        <is>
          <t>ESLÖV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