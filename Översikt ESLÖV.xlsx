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46252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46252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46252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46252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46252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HYPERLINK("https://klasma.github.io/Logging_1285/artfynd/A 27443-2026 artfynd.xlsx", "A 27443-2026")</f>
        <v/>
      </c>
      <c r="X11">
        <f>HYPERLINK("https://klasma.github.io/Logging_1285/kartor/A 27443-2026 karta.png", "A 27443-2026")</f>
        <v/>
      </c>
      <c r="Y11">
        <f>HYPERLINK("https://klasma.github.io/Logging_1285/kartor_geotiff/A 27443-2026 georefererad karta.tif", "A 27443-2026")</f>
        <v/>
      </c>
      <c r="AA11">
        <f>HYPERLINK("https://klasma.github.io/Logging_1285/klagomål/A 27443-2026 FSC-klagomål.docx", "A 27443-2026")</f>
        <v/>
      </c>
      <c r="AB11">
        <f>HYPERLINK("https://klasma.github.io/Logging_1285/klagomålsmail/A 27443-2026 FSC-klagomål mail.docx", "A 27443-2026")</f>
        <v/>
      </c>
      <c r="AC11">
        <f>HYPERLINK("https://klasma.github.io/Logging_1285/tillsyn/A 27443-2026 tillsynsbegäran.docx", "A 27443-2026")</f>
        <v/>
      </c>
      <c r="AD11">
        <f>HYPERLINK("https://klasma.github.io/Logging_1285/tillsynsmail/A 27443-2026 tillsynsbegäran mail.docx", "A 27443-2026")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46252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46252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46252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46252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46252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24809-2025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46252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HYPERLINK("https://klasma.github.io/Logging_1285/artfynd/A 24809-2025 artfynd.xlsx", "A 24809-2025")</f>
        <v/>
      </c>
      <c r="X17">
        <f>HYPERLINK("https://klasma.github.io/Logging_1285/kartor/A 24809-2025 karta.png", "A 24809-2025")</f>
        <v/>
      </c>
      <c r="Y17">
        <f>HYPERLINK("https://klasma.github.io/Logging_1285/kartor_geotiff/A 24809-2025 georefererad karta.tif", "A 24809-2025")</f>
        <v/>
      </c>
      <c r="AA17">
        <f>HYPERLINK("https://klasma.github.io/Logging_1285/klagomål/A 24809-2025 FSC-klagomål.docx", "A 24809-2025")</f>
        <v/>
      </c>
      <c r="AB17">
        <f>HYPERLINK("https://klasma.github.io/Logging_1285/klagomålsmail/A 24809-2025 FSC-klagomål mail.docx", "A 24809-2025")</f>
        <v/>
      </c>
      <c r="AC17">
        <f>HYPERLINK("https://klasma.github.io/Logging_1285/tillsyn/A 24809-2025 tillsynsbegäran.docx", "A 24809-2025")</f>
        <v/>
      </c>
      <c r="AD17">
        <f>HYPERLINK("https://klasma.github.io/Logging_1285/tillsynsmail/A 24809-2025 tillsynsbegäran mail.docx", "A 24809-2025")</f>
        <v/>
      </c>
      <c r="AE17">
        <f>HYPERLINK("https://klasma.github.io/Logging_1285/fåglar/A 24809-2025 prioriterade fågelarter.docx", "A 24809-2025")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46252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46252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46252</v>
      </c>
      <c r="F20" t="inlineStr">
        <is>
          <t>SKÅNE LÄN</t>
        </is>
      </c>
      <c r="G20" t="inlineStr">
        <is>
          <t>ESLÖV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24115-2022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46252</v>
      </c>
      <c r="F21" t="inlineStr">
        <is>
          <t>SKÅNE LÄN</t>
        </is>
      </c>
      <c r="G21" t="inlineStr">
        <is>
          <t>ESLÖV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45089</v>
      </c>
      <c r="E22" s="1" t="n">
        <v>46252</v>
      </c>
      <c r="F22" t="inlineStr">
        <is>
          <t>SKÅNE LÄN</t>
        </is>
      </c>
      <c r="G22" t="inlineStr">
        <is>
          <t>ESLÖV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46252</v>
      </c>
      <c r="F23" t="inlineStr">
        <is>
          <t>SKÅNE LÄN</t>
        </is>
      </c>
      <c r="G23" t="inlineStr">
        <is>
          <t>ESLÖV</t>
        </is>
      </c>
      <c r="I23" t="n">
        <v>6.9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46252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46252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46252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46252</v>
      </c>
      <c r="F27" t="inlineStr">
        <is>
          <t>SKÅNE LÄN</t>
        </is>
      </c>
      <c r="G27" t="inlineStr">
        <is>
          <t>ESLÖV</t>
        </is>
      </c>
      <c r="I27" t="n">
        <v>7.5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46252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46252</v>
      </c>
      <c r="F29" t="inlineStr">
        <is>
          <t>SKÅNE LÄN</t>
        </is>
      </c>
      <c r="G29" t="inlineStr">
        <is>
          <t>ESLÖV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62496-2023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46252</v>
      </c>
      <c r="F30" t="inlineStr">
        <is>
          <t>SKÅNE LÄN</t>
        </is>
      </c>
      <c r="G30" t="inlineStr">
        <is>
          <t>ESLÖV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45030</v>
      </c>
      <c r="E31" s="1" t="n">
        <v>46252</v>
      </c>
      <c r="F31" t="inlineStr">
        <is>
          <t>SKÅNE LÄN</t>
        </is>
      </c>
      <c r="G31" t="inlineStr">
        <is>
          <t>ESLÖV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46252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34170-2023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45138</v>
      </c>
      <c r="E33" s="1" t="n">
        <v>46252</v>
      </c>
      <c r="F33" t="inlineStr">
        <is>
          <t>SKÅNE LÄN</t>
        </is>
      </c>
      <c r="G33" t="inlineStr">
        <is>
          <t>ESLÖV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15357-2023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46252</v>
      </c>
      <c r="F34" t="inlineStr">
        <is>
          <t>SKÅNE LÄN</t>
        </is>
      </c>
      <c r="G34" t="inlineStr">
        <is>
          <t>ESLÖV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46252</v>
      </c>
      <c r="F35" t="inlineStr">
        <is>
          <t>SKÅNE LÄN</t>
        </is>
      </c>
      <c r="G35" t="inlineStr">
        <is>
          <t>ESLÖV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46252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45139</v>
      </c>
      <c r="E37" s="1" t="n">
        <v>46252</v>
      </c>
      <c r="F37" t="inlineStr">
        <is>
          <t>SKÅNE LÄN</t>
        </is>
      </c>
      <c r="G37" t="inlineStr">
        <is>
          <t>ESLÖV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47870-2025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45932</v>
      </c>
      <c r="E38" s="1" t="n">
        <v>46252</v>
      </c>
      <c r="F38" t="inlineStr">
        <is>
          <t>SKÅNE LÄN</t>
        </is>
      </c>
      <c r="G38" t="inlineStr">
        <is>
          <t>ESLÖV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15467-2025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45747</v>
      </c>
      <c r="E39" s="1" t="n">
        <v>46252</v>
      </c>
      <c r="F39" t="inlineStr">
        <is>
          <t>SKÅNE LÄN</t>
        </is>
      </c>
      <c r="G39" t="inlineStr">
        <is>
          <t>ESLÖV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5869-2023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44958</v>
      </c>
      <c r="E40" s="1" t="n">
        <v>46252</v>
      </c>
      <c r="F40" t="inlineStr">
        <is>
          <t>SKÅNE LÄN</t>
        </is>
      </c>
      <c r="G40" t="inlineStr">
        <is>
          <t>ESLÖV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46252</v>
      </c>
      <c r="F41" t="inlineStr">
        <is>
          <t>SKÅNE LÄN</t>
        </is>
      </c>
      <c r="G41" t="inlineStr">
        <is>
          <t>ESLÖV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45705</v>
      </c>
      <c r="E42" s="1" t="n">
        <v>46252</v>
      </c>
      <c r="F42" t="inlineStr">
        <is>
          <t>SKÅNE LÄN</t>
        </is>
      </c>
      <c r="G42" t="inlineStr">
        <is>
          <t>ESLÖV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9686-2023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46252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46252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26165-2026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46252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46252</v>
      </c>
      <c r="F46" t="inlineStr">
        <is>
          <t>SKÅNE LÄN</t>
        </is>
      </c>
      <c r="G46" t="inlineStr">
        <is>
          <t>ESLÖV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45986</v>
      </c>
      <c r="E47" s="1" t="n">
        <v>46252</v>
      </c>
      <c r="F47" t="inlineStr">
        <is>
          <t>SKÅNE LÄN</t>
        </is>
      </c>
      <c r="G47" t="inlineStr">
        <is>
          <t>ESLÖV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26497-2026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46183</v>
      </c>
      <c r="E48" s="1" t="n">
        <v>46252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46252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46252</v>
      </c>
      <c r="F50" t="inlineStr">
        <is>
          <t>SKÅNE LÄN</t>
        </is>
      </c>
      <c r="G50" t="inlineStr">
        <is>
          <t>ESLÖV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46252</v>
      </c>
      <c r="F51" t="inlineStr">
        <is>
          <t>SKÅNE LÄN</t>
        </is>
      </c>
      <c r="G51" t="inlineStr">
        <is>
          <t>ESLÖV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27428-2026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46252</v>
      </c>
      <c r="F52" t="inlineStr">
        <is>
          <t>SKÅNE LÄN</t>
        </is>
      </c>
      <c r="G52" t="inlineStr">
        <is>
          <t>ESLÖV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46252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46252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46252</v>
      </c>
      <c r="F55" t="inlineStr">
        <is>
          <t>SKÅNE LÄN</t>
        </is>
      </c>
      <c r="G55" t="inlineStr">
        <is>
          <t>ESLÖV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43808-2024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45571</v>
      </c>
      <c r="E56" s="1" t="n">
        <v>46252</v>
      </c>
      <c r="F56" t="inlineStr">
        <is>
          <t>SKÅNE LÄN</t>
        </is>
      </c>
      <c r="G56" t="inlineStr">
        <is>
          <t>ESLÖV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46252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18281-2026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46252</v>
      </c>
      <c r="F58" t="inlineStr">
        <is>
          <t>SKÅNE LÄN</t>
        </is>
      </c>
      <c r="G58" t="inlineStr">
        <is>
          <t>ESLÖV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45189</v>
      </c>
      <c r="E59" s="1" t="n">
        <v>46252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33865-2024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46252</v>
      </c>
      <c r="F60" t="inlineStr">
        <is>
          <t>SKÅNE LÄN</t>
        </is>
      </c>
      <c r="G60" t="inlineStr">
        <is>
          <t>ESLÖV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16670-2025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46252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46252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38173-2023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46252</v>
      </c>
      <c r="F63" t="inlineStr">
        <is>
          <t>SKÅNE LÄN</t>
        </is>
      </c>
      <c r="G63" t="inlineStr">
        <is>
          <t>ESLÖV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46252</v>
      </c>
      <c r="F64" t="inlineStr">
        <is>
          <t>SKÅNE LÄN</t>
        </is>
      </c>
      <c r="G64" t="inlineStr">
        <is>
          <t>ESLÖV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22134-2026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46252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46252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18503-2026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46127</v>
      </c>
      <c r="E67" s="1" t="n">
        <v>46252</v>
      </c>
      <c r="F67" t="inlineStr">
        <is>
          <t>SKÅNE LÄN</t>
        </is>
      </c>
      <c r="G67" t="inlineStr">
        <is>
          <t>ESLÖV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46252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10819-2026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46078</v>
      </c>
      <c r="E69" s="1" t="n">
        <v>46252</v>
      </c>
      <c r="F69" t="inlineStr">
        <is>
          <t>SKÅNE LÄN</t>
        </is>
      </c>
      <c r="G69" t="inlineStr">
        <is>
          <t>ESLÖV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46252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1574-2024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46252</v>
      </c>
      <c r="F71" t="inlineStr">
        <is>
          <t>SKÅNE LÄN</t>
        </is>
      </c>
      <c r="G71" t="inlineStr">
        <is>
          <t>ESLÖV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2026-08-18T01:48:57Z</dcterms:created>
  <dcterms:modified xmlns:dcterms="http://purl.org/dc/terms/" xmlns:xsi="http://www.w3.org/2001/XMLSchema-instance" xsi:type="dcterms:W3CDTF">2026-08-18T01:48:57Z</dcterms:modified>
</cp:coreProperties>
</file>