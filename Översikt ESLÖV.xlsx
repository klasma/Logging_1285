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46259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46259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46259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46259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46259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46259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46259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27443-2026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46189</v>
      </c>
      <c r="E14" s="1" t="n">
        <v>46259</v>
      </c>
      <c r="F14" t="inlineStr">
        <is>
          <t>SKÅNE LÄN</t>
        </is>
      </c>
      <c r="G14" t="inlineStr">
        <is>
          <t>ESLÖV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HYPERLINK("https://klasma.github.io/Logging_1285/artfynd/A 27443-2026 artfynd.xlsx", "A 27443-2026")</f>
        <v/>
      </c>
      <c r="X14">
        <f>HYPERLINK("https://klasma.github.io/Logging_1285/kartor/A 27443-2026 karta.png", "A 27443-2026")</f>
        <v/>
      </c>
      <c r="Y14">
        <f>HYPERLINK("https://klasma.github.io/Logging_1285/kartor_geotiff/A 27443-2026 georefererad karta.tif", "A 27443-2026")</f>
        <v/>
      </c>
      <c r="AA14">
        <f>HYPERLINK("https://klasma.github.io/Logging_1285/klagomål/A 27443-2026 FSC-klagomål.docx", "A 27443-2026")</f>
        <v/>
      </c>
      <c r="AB14">
        <f>HYPERLINK("https://klasma.github.io/Logging_1285/klagomålsmail/A 27443-2026 FSC-klagomål mail.docx", "A 27443-2026")</f>
        <v/>
      </c>
      <c r="AC14">
        <f>HYPERLINK("https://klasma.github.io/Logging_1285/tillsyn/A 27443-2026 tillsynsbegäran.docx", "A 27443-2026")</f>
        <v/>
      </c>
      <c r="AD14">
        <f>HYPERLINK("https://klasma.github.io/Logging_1285/tillsynsmail/A 27443-2026 tillsynsbegäran mail.docx", "A 27443-2026")</f>
        <v/>
      </c>
    </row>
    <row r="15" ht="15" customHeight="1">
      <c r="A15" t="inlineStr">
        <is>
          <t>A 1510-2024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46259</v>
      </c>
      <c r="F15" t="inlineStr">
        <is>
          <t>SKÅNE LÄN</t>
        </is>
      </c>
      <c r="G15" t="inlineStr">
        <is>
          <t>ESLÖV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stork</t>
        </is>
      </c>
      <c r="W15">
        <f>HYPERLINK("https://klasma.github.io/Logging_1285/artfynd/A 1510-2024 artfynd.xlsx", "A 1510-2024")</f>
        <v/>
      </c>
      <c r="X15">
        <f>HYPERLINK("https://klasma.github.io/Logging_1285/kartor/A 1510-2024 karta.png", "A 1510-2024")</f>
        <v/>
      </c>
      <c r="Y15">
        <f>HYPERLINK("https://klasma.github.io/Logging_1285/kartor_geotiff/A 1510-2024 georefererad karta.tif", "A 1510-2024")</f>
        <v/>
      </c>
      <c r="AA15">
        <f>HYPERLINK("https://klasma.github.io/Logging_1285/klagomål/A 1510-2024 FSC-klagomål.docx", "A 1510-2024")</f>
        <v/>
      </c>
      <c r="AB15">
        <f>HYPERLINK("https://klasma.github.io/Logging_1285/klagomålsmail/A 1510-2024 FSC-klagomål mail.docx", "A 1510-2024")</f>
        <v/>
      </c>
      <c r="AC15">
        <f>HYPERLINK("https://klasma.github.io/Logging_1285/tillsyn/A 1510-2024 tillsynsbegäran.docx", "A 1510-2024")</f>
        <v/>
      </c>
      <c r="AD15">
        <f>HYPERLINK("https://klasma.github.io/Logging_1285/tillsynsmail/A 1510-2024 tillsynsbegäran mail.docx", "A 1510-2024")</f>
        <v/>
      </c>
      <c r="AE15">
        <f>HYPERLINK("https://klasma.github.io/Logging_1285/fåglar/A 1510-2024 prioriterade fågelarter.docx", "A 1510-2024")</f>
        <v/>
      </c>
    </row>
    <row r="16" ht="15" customHeight="1">
      <c r="A16" t="inlineStr">
        <is>
          <t>A 52652-2023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45225</v>
      </c>
      <c r="E16" s="1" t="n">
        <v>46259</v>
      </c>
      <c r="F16" t="inlineStr">
        <is>
          <t>SKÅNE LÄN</t>
        </is>
      </c>
      <c r="G16" t="inlineStr">
        <is>
          <t>ESLÖV</t>
        </is>
      </c>
      <c r="I16" t="n">
        <v>2.9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Grönfläckig padda</t>
        </is>
      </c>
      <c r="W16">
        <f>HYPERLINK("https://klasma.github.io/Logging_1285/artfynd/A 52652-2023 artfynd.xlsx", "A 52652-2023")</f>
        <v/>
      </c>
      <c r="X16">
        <f>HYPERLINK("https://klasma.github.io/Logging_1285/kartor/A 52652-2023 karta.png", "A 52652-2023")</f>
        <v/>
      </c>
      <c r="Y16">
        <f>HYPERLINK("https://klasma.github.io/Logging_1285/kartor_geotiff/A 52652-2023 georefererad karta.tif", "A 52652-2023")</f>
        <v/>
      </c>
      <c r="AA16">
        <f>HYPERLINK("https://klasma.github.io/Logging_1285/klagomål/A 52652-2023 FSC-klagomål.docx", "A 52652-2023")</f>
        <v/>
      </c>
      <c r="AB16">
        <f>HYPERLINK("https://klasma.github.io/Logging_1285/klagomålsmail/A 52652-2023 FSC-klagomål mail.docx", "A 52652-2023")</f>
        <v/>
      </c>
      <c r="AC16">
        <f>HYPERLINK("https://klasma.github.io/Logging_1285/tillsyn/A 52652-2023 tillsynsbegäran.docx", "A 52652-2023")</f>
        <v/>
      </c>
      <c r="AD16">
        <f>HYPERLINK("https://klasma.github.io/Logging_1285/tillsynsmail/A 52652-2023 tillsynsbegäran mail.docx", "A 52652-2023")</f>
        <v/>
      </c>
    </row>
    <row r="17" ht="15" customHeight="1">
      <c r="A17" t="inlineStr">
        <is>
          <t>A 18713-2024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45426</v>
      </c>
      <c r="E17" s="1" t="n">
        <v>46259</v>
      </c>
      <c r="F17" t="inlineStr">
        <is>
          <t>SKÅNE LÄN</t>
        </is>
      </c>
      <c r="G17" t="inlineStr">
        <is>
          <t>ESLÖV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Gråtrut</t>
        </is>
      </c>
      <c r="W17">
        <f>HYPERLINK("https://klasma.github.io/Logging_1285/artfynd/A 18713-2024 artfynd.xlsx", "A 18713-2024")</f>
        <v/>
      </c>
      <c r="X17">
        <f>HYPERLINK("https://klasma.github.io/Logging_1285/kartor/A 18713-2024 karta.png", "A 18713-2024")</f>
        <v/>
      </c>
      <c r="Y17">
        <f>HYPERLINK("https://klasma.github.io/Logging_1285/kartor_geotiff/A 18713-2024 georefererad karta.tif", "A 18713-2024")</f>
        <v/>
      </c>
      <c r="AA17">
        <f>HYPERLINK("https://klasma.github.io/Logging_1285/klagomål/A 18713-2024 FSC-klagomål.docx", "A 18713-2024")</f>
        <v/>
      </c>
      <c r="AB17">
        <f>HYPERLINK("https://klasma.github.io/Logging_1285/klagomålsmail/A 18713-2024 FSC-klagomål mail.docx", "A 18713-2024")</f>
        <v/>
      </c>
      <c r="AC17">
        <f>HYPERLINK("https://klasma.github.io/Logging_1285/tillsyn/A 18713-2024 tillsynsbegäran.docx", "A 18713-2024")</f>
        <v/>
      </c>
      <c r="AD17">
        <f>HYPERLINK("https://klasma.github.io/Logging_1285/tillsynsmail/A 18713-2024 tillsynsbegäran mail.docx", "A 18713-2024")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46259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46259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46259</v>
      </c>
      <c r="F20" t="inlineStr">
        <is>
          <t>SKÅNE LÄN</t>
        </is>
      </c>
      <c r="G20" t="inlineStr">
        <is>
          <t>ESLÖV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44805</v>
      </c>
      <c r="E21" s="1" t="n">
        <v>46259</v>
      </c>
      <c r="F21" t="inlineStr">
        <is>
          <t>SKÅNE LÄN</t>
        </is>
      </c>
      <c r="G21" t="inlineStr">
        <is>
          <t>ESLÖV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46259</v>
      </c>
      <c r="F22" t="inlineStr">
        <is>
          <t>SKÅNE LÄN</t>
        </is>
      </c>
      <c r="G22" t="inlineStr">
        <is>
          <t>ESLÖV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46259</v>
      </c>
      <c r="F23" t="inlineStr">
        <is>
          <t>SKÅNE LÄN</t>
        </is>
      </c>
      <c r="G23" t="inlineStr">
        <is>
          <t>ESLÖV</t>
        </is>
      </c>
      <c r="I23" t="n">
        <v>6.9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25388-2023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46259</v>
      </c>
      <c r="F24" t="inlineStr">
        <is>
          <t>SKÅNE LÄN</t>
        </is>
      </c>
      <c r="G24" t="inlineStr">
        <is>
          <t>ESLÖV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15533-2024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46259</v>
      </c>
      <c r="F25" t="inlineStr">
        <is>
          <t>SKÅNE LÄN</t>
        </is>
      </c>
      <c r="G25" t="inlineStr">
        <is>
          <t>ESLÖV</t>
        </is>
      </c>
      <c r="I25" t="n">
        <v>7.5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11221-2024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46259</v>
      </c>
      <c r="F26" t="inlineStr">
        <is>
          <t>SKÅNE LÄN</t>
        </is>
      </c>
      <c r="G26" t="inlineStr">
        <is>
          <t>ESLÖV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15467-2025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45747</v>
      </c>
      <c r="E27" s="1" t="n">
        <v>46259</v>
      </c>
      <c r="F27" t="inlineStr">
        <is>
          <t>SKÅNE LÄN</t>
        </is>
      </c>
      <c r="G27" t="inlineStr">
        <is>
          <t>ESLÖV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10940-2024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45370</v>
      </c>
      <c r="E28" s="1" t="n">
        <v>46259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5869-2023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44958</v>
      </c>
      <c r="E29" s="1" t="n">
        <v>46259</v>
      </c>
      <c r="F29" t="inlineStr">
        <is>
          <t>SKÅNE LÄN</t>
        </is>
      </c>
      <c r="G29" t="inlineStr">
        <is>
          <t>ESLÖV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9482-2023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44981</v>
      </c>
      <c r="E30" s="1" t="n">
        <v>46259</v>
      </c>
      <c r="F30" t="inlineStr">
        <is>
          <t>SKÅNE LÄN</t>
        </is>
      </c>
      <c r="G30" t="inlineStr">
        <is>
          <t>ESLÖV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25385-2023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45089</v>
      </c>
      <c r="E31" s="1" t="n">
        <v>46259</v>
      </c>
      <c r="F31" t="inlineStr">
        <is>
          <t>SKÅNE LÄN</t>
        </is>
      </c>
      <c r="G31" t="inlineStr">
        <is>
          <t>ESLÖV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43808-2024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45571</v>
      </c>
      <c r="E32" s="1" t="n">
        <v>46259</v>
      </c>
      <c r="F32" t="inlineStr">
        <is>
          <t>SKÅNE LÄN</t>
        </is>
      </c>
      <c r="G32" t="inlineStr">
        <is>
          <t>ESLÖV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14386-2026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46100</v>
      </c>
      <c r="E33" s="1" t="n">
        <v>46259</v>
      </c>
      <c r="F33" t="inlineStr">
        <is>
          <t>SKÅNE LÄN</t>
        </is>
      </c>
      <c r="G33" t="inlineStr">
        <is>
          <t>ESLÖV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46259</v>
      </c>
      <c r="F34" t="inlineStr">
        <is>
          <t>SKÅNE LÄN</t>
        </is>
      </c>
      <c r="G34" t="inlineStr">
        <is>
          <t>ESLÖV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18281-2026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46125</v>
      </c>
      <c r="E35" s="1" t="n">
        <v>46259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46259</v>
      </c>
      <c r="F36" t="inlineStr">
        <is>
          <t>SKÅNE LÄN</t>
        </is>
      </c>
      <c r="G36" t="inlineStr">
        <is>
          <t>ESLÖV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25508-2023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46259</v>
      </c>
      <c r="F37" t="inlineStr">
        <is>
          <t>SKÅNE LÄN</t>
        </is>
      </c>
      <c r="G37" t="inlineStr">
        <is>
          <t>ESLÖV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9686-2023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46259</v>
      </c>
      <c r="F38" t="inlineStr">
        <is>
          <t>SKÅNE LÄN</t>
        </is>
      </c>
      <c r="G38" t="inlineStr">
        <is>
          <t>ESLÖV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47356-2025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46259</v>
      </c>
      <c r="F39" t="inlineStr">
        <is>
          <t>SKÅNE LÄN</t>
        </is>
      </c>
      <c r="G39" t="inlineStr">
        <is>
          <t>ESLÖV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46259</v>
      </c>
      <c r="F40" t="inlineStr">
        <is>
          <t>SKÅNE LÄN</t>
        </is>
      </c>
      <c r="G40" t="inlineStr">
        <is>
          <t>ESLÖV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34468-2023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45139</v>
      </c>
      <c r="E41" s="1" t="n">
        <v>46259</v>
      </c>
      <c r="F41" t="inlineStr">
        <is>
          <t>SKÅNE LÄN</t>
        </is>
      </c>
      <c r="G41" t="inlineStr">
        <is>
          <t>ESLÖV</t>
        </is>
      </c>
      <c r="I41" t="n">
        <v>5.5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45705</v>
      </c>
      <c r="E42" s="1" t="n">
        <v>46259</v>
      </c>
      <c r="F42" t="inlineStr">
        <is>
          <t>SKÅNE LÄN</t>
        </is>
      </c>
      <c r="G42" t="inlineStr">
        <is>
          <t>ESLÖV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45268</v>
      </c>
      <c r="E43" s="1" t="n">
        <v>46259</v>
      </c>
      <c r="F43" t="inlineStr">
        <is>
          <t>SKÅNE LÄN</t>
        </is>
      </c>
      <c r="G43" t="inlineStr">
        <is>
          <t>ESLÖV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46259</v>
      </c>
      <c r="F44" t="inlineStr">
        <is>
          <t>SKÅNE LÄN</t>
        </is>
      </c>
      <c r="G44" t="inlineStr">
        <is>
          <t>ESLÖV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45138</v>
      </c>
      <c r="E45" s="1" t="n">
        <v>46259</v>
      </c>
      <c r="F45" t="inlineStr">
        <is>
          <t>SKÅNE LÄN</t>
        </is>
      </c>
      <c r="G45" t="inlineStr">
        <is>
          <t>ESLÖV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18503-2026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46127</v>
      </c>
      <c r="E46" s="1" t="n">
        <v>46259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24115-2022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44725</v>
      </c>
      <c r="E47" s="1" t="n">
        <v>46259</v>
      </c>
      <c r="F47" t="inlineStr">
        <is>
          <t>SKÅNE LÄN</t>
        </is>
      </c>
      <c r="G47" t="inlineStr">
        <is>
          <t>ESLÖV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46259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46259</v>
      </c>
      <c r="F49" t="inlineStr">
        <is>
          <t>SKÅNE LÄN</t>
        </is>
      </c>
      <c r="G49" t="inlineStr">
        <is>
          <t>ESLÖV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45863</v>
      </c>
      <c r="E50" s="1" t="n">
        <v>46259</v>
      </c>
      <c r="F50" t="inlineStr">
        <is>
          <t>SKÅNE LÄN</t>
        </is>
      </c>
      <c r="G50" t="inlineStr">
        <is>
          <t>ESLÖV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35997-2025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45863</v>
      </c>
      <c r="E51" s="1" t="n">
        <v>46259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46259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46259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16733-2023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45030</v>
      </c>
      <c r="E54" s="1" t="n">
        <v>46259</v>
      </c>
      <c r="F54" t="inlineStr">
        <is>
          <t>SKÅNE LÄN</t>
        </is>
      </c>
      <c r="G54" t="inlineStr">
        <is>
          <t>ESLÖV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46259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46259</v>
      </c>
      <c r="F56" t="inlineStr">
        <is>
          <t>SKÅNE LÄN</t>
        </is>
      </c>
      <c r="G56" t="inlineStr">
        <is>
          <t>ESLÖV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46183</v>
      </c>
      <c r="E57" s="1" t="n">
        <v>46259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46259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27428-2026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46189</v>
      </c>
      <c r="E59" s="1" t="n">
        <v>46259</v>
      </c>
      <c r="F59" t="inlineStr">
        <is>
          <t>SKÅNE LÄN</t>
        </is>
      </c>
      <c r="G59" t="inlineStr">
        <is>
          <t>ESLÖV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46189</v>
      </c>
      <c r="E60" s="1" t="n">
        <v>46259</v>
      </c>
      <c r="F60" t="inlineStr">
        <is>
          <t>SKÅNE LÄN</t>
        </is>
      </c>
      <c r="G60" t="inlineStr">
        <is>
          <t>ESLÖV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46259</v>
      </c>
      <c r="F61" t="inlineStr">
        <is>
          <t>SKÅNE LÄN</t>
        </is>
      </c>
      <c r="G61" t="inlineStr">
        <is>
          <t>ESLÖV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46259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46259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46259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45932</v>
      </c>
      <c r="E65" s="1" t="n">
        <v>46259</v>
      </c>
      <c r="F65" t="inlineStr">
        <is>
          <t>SKÅNE LÄN</t>
        </is>
      </c>
      <c r="G65" t="inlineStr">
        <is>
          <t>ESLÖV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46259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46259</v>
      </c>
      <c r="F67" t="inlineStr">
        <is>
          <t>SKÅNE LÄN</t>
        </is>
      </c>
      <c r="G67" t="inlineStr">
        <is>
          <t>ESLÖV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46259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46259</v>
      </c>
      <c r="F69" t="inlineStr">
        <is>
          <t>SKÅNE LÄN</t>
        </is>
      </c>
      <c r="G69" t="inlineStr">
        <is>
          <t>ESLÖV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46259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9849-2026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46259</v>
      </c>
      <c r="F71" t="inlineStr">
        <is>
          <t>SKÅNE LÄN</t>
        </is>
      </c>
      <c r="G71" t="inlineStr">
        <is>
          <t>ESLÖV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2026-08-25T01:53:06Z</dcterms:created>
  <dcterms:modified xmlns:dcterms="http://purl.org/dc/terms/" xmlns:xsi="http://www.w3.org/2001/XMLSchema-instance" xsi:type="dcterms:W3CDTF">2026-08-25T01:53:06Z</dcterms:modified>
</cp:coreProperties>
</file>