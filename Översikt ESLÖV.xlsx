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46200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46200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46200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46200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46200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46200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46200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46200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46200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46200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27443-2026</t>
        </is>
      </c>
      <c r="B12" s="1" t="n">
        <v>46189</v>
      </c>
      <c r="C12" s="1" t="n">
        <v>46200</v>
      </c>
      <c r="D12" t="inlineStr">
        <is>
          <t>SKÅNE LÄN</t>
        </is>
      </c>
      <c r="E12" t="inlineStr">
        <is>
          <t>ESLÖV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HYPERLINK("https://klasma.github.io/Logging_1285/artfynd/A 27443-2026 artfynd.xlsx", "A 27443-2026")</f>
        <v/>
      </c>
      <c r="T12">
        <f>HYPERLINK("https://klasma.github.io/Logging_1285/kartor/A 27443-2026 karta.png", "A 27443-2026")</f>
        <v/>
      </c>
      <c r="V12">
        <f>HYPERLINK("https://klasma.github.io/Logging_1285/klagomål/A 27443-2026 FSC-klagomål.docx", "A 27443-2026")</f>
        <v/>
      </c>
      <c r="W12">
        <f>HYPERLINK("https://klasma.github.io/Logging_1285/klagomålsmail/A 27443-2026 FSC-klagomål mail.docx", "A 27443-2026")</f>
        <v/>
      </c>
      <c r="X12">
        <f>HYPERLINK("https://klasma.github.io/Logging_1285/tillsyn/A 27443-2026 tillsynsbegäran.docx", "A 27443-2026")</f>
        <v/>
      </c>
      <c r="Y12">
        <f>HYPERLINK("https://klasma.github.io/Logging_1285/tillsynsmail/A 27443-2026 tillsynsbegäran mail.docx", "A 27443-2026")</f>
        <v/>
      </c>
    </row>
    <row r="13" ht="15" customHeight="1">
      <c r="A13" t="inlineStr">
        <is>
          <t>A 61035-2024</t>
        </is>
      </c>
      <c r="B13" s="1" t="n">
        <v>45645</v>
      </c>
      <c r="C13" s="1" t="n">
        <v>46200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Gullpudra</t>
        </is>
      </c>
      <c r="S13">
        <f>HYPERLINK("https://klasma.github.io/Logging_1285/artfynd/A 61035-2024 artfynd.xlsx", "A 61035-2024")</f>
        <v/>
      </c>
      <c r="T13">
        <f>HYPERLINK("https://klasma.github.io/Logging_1285/kartor/A 61035-2024 karta.png", "A 61035-2024")</f>
        <v/>
      </c>
      <c r="V13">
        <f>HYPERLINK("https://klasma.github.io/Logging_1285/klagomål/A 61035-2024 FSC-klagomål.docx", "A 61035-2024")</f>
        <v/>
      </c>
      <c r="W13">
        <f>HYPERLINK("https://klasma.github.io/Logging_1285/klagomålsmail/A 61035-2024 FSC-klagomål mail.docx", "A 61035-2024")</f>
        <v/>
      </c>
      <c r="X13">
        <f>HYPERLINK("https://klasma.github.io/Logging_1285/tillsyn/A 61035-2024 tillsynsbegäran.docx", "A 61035-2024")</f>
        <v/>
      </c>
      <c r="Y13">
        <f>HYPERLINK("https://klasma.github.io/Logging_1285/tillsynsmail/A 61035-2024 tillsynsbegäran mail.docx", "A 61035-2024")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46200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46200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46200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46200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46200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25385-2023</t>
        </is>
      </c>
      <c r="B19" s="1" t="n">
        <v>45089</v>
      </c>
      <c r="C19" s="1" t="n">
        <v>46200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</v>
      </c>
      <c r="C20" s="1" t="n">
        <v>46200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46200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</v>
      </c>
      <c r="C22" s="1" t="n">
        <v>46200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46200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34170-2023</t>
        </is>
      </c>
      <c r="B24" s="1" t="n">
        <v>45138</v>
      </c>
      <c r="C24" s="1" t="n">
        <v>46200</v>
      </c>
      <c r="D24" t="inlineStr">
        <is>
          <t>SKÅNE LÄN</t>
        </is>
      </c>
      <c r="E24" t="inlineStr">
        <is>
          <t>ESLÖV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7016-2025</t>
        </is>
      </c>
      <c r="B25" s="1" t="n">
        <v>45701</v>
      </c>
      <c r="C25" s="1" t="n">
        <v>46200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44496-2023</t>
        </is>
      </c>
      <c r="B26" s="1" t="n">
        <v>45189</v>
      </c>
      <c r="C26" s="1" t="n">
        <v>46200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33865-2024</t>
        </is>
      </c>
      <c r="B27" s="1" t="n">
        <v>45520</v>
      </c>
      <c r="C27" s="1" t="n">
        <v>46200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16670-2025</t>
        </is>
      </c>
      <c r="B28" s="1" t="n">
        <v>45754</v>
      </c>
      <c r="C28" s="1" t="n">
        <v>46200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46200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46200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36761-2022</t>
        </is>
      </c>
      <c r="B31" s="1" t="n">
        <v>44805</v>
      </c>
      <c r="C31" s="1" t="n">
        <v>46200</v>
      </c>
      <c r="D31" t="inlineStr">
        <is>
          <t>SKÅNE LÄN</t>
        </is>
      </c>
      <c r="E31" t="inlineStr">
        <is>
          <t>ESLÖV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24115-2022</t>
        </is>
      </c>
      <c r="B32" s="1" t="n">
        <v>44725</v>
      </c>
      <c r="C32" s="1" t="n">
        <v>46200</v>
      </c>
      <c r="D32" t="inlineStr">
        <is>
          <t>SKÅNE LÄN</t>
        </is>
      </c>
      <c r="E32" t="inlineStr">
        <is>
          <t>ESLÖV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34468-2023</t>
        </is>
      </c>
      <c r="B33" s="1" t="n">
        <v>45139</v>
      </c>
      <c r="C33" s="1" t="n">
        <v>46200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46200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38173-2023</t>
        </is>
      </c>
      <c r="B35" s="1" t="n">
        <v>45161</v>
      </c>
      <c r="C35" s="1" t="n">
        <v>46200</v>
      </c>
      <c r="D35" t="inlineStr">
        <is>
          <t>SKÅNE LÄN</t>
        </is>
      </c>
      <c r="E35" t="inlineStr">
        <is>
          <t>ESLÖV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</v>
      </c>
      <c r="C36" s="1" t="n">
        <v>46200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12079-2024</t>
        </is>
      </c>
      <c r="B37" s="1" t="n">
        <v>45377</v>
      </c>
      <c r="C37" s="1" t="n">
        <v>46200</v>
      </c>
      <c r="D37" t="inlineStr">
        <is>
          <t>SKÅNE LÄN</t>
        </is>
      </c>
      <c r="E37" t="inlineStr">
        <is>
          <t>ESLÖV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46200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</v>
      </c>
      <c r="C39" s="1" t="n">
        <v>46200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9482-2023</t>
        </is>
      </c>
      <c r="B40" s="1" t="n">
        <v>44981</v>
      </c>
      <c r="C40" s="1" t="n">
        <v>46200</v>
      </c>
      <c r="D40" t="inlineStr">
        <is>
          <t>SKÅNE LÄN</t>
        </is>
      </c>
      <c r="E40" t="inlineStr">
        <is>
          <t>ESLÖV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15533-2024</t>
        </is>
      </c>
      <c r="B41" s="1" t="n">
        <v>45401</v>
      </c>
      <c r="C41" s="1" t="n">
        <v>46200</v>
      </c>
      <c r="D41" t="inlineStr">
        <is>
          <t>SKÅNE LÄN</t>
        </is>
      </c>
      <c r="E41" t="inlineStr">
        <is>
          <t>ESLÖV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46200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62496-2023</t>
        </is>
      </c>
      <c r="B43" s="1" t="n">
        <v>45268</v>
      </c>
      <c r="C43" s="1" t="n">
        <v>46200</v>
      </c>
      <c r="D43" t="inlineStr">
        <is>
          <t>SKÅNE LÄN</t>
        </is>
      </c>
      <c r="E43" t="inlineStr">
        <is>
          <t>ESLÖV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46200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</v>
      </c>
      <c r="C45" s="1" t="n">
        <v>46200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35996-2025</t>
        </is>
      </c>
      <c r="B46" s="1" t="n">
        <v>45863</v>
      </c>
      <c r="C46" s="1" t="n">
        <v>46200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11221-2024</t>
        </is>
      </c>
      <c r="B47" s="1" t="n">
        <v>45371</v>
      </c>
      <c r="C47" s="1" t="n">
        <v>46200</v>
      </c>
      <c r="D47" t="inlineStr">
        <is>
          <t>SKÅNE LÄN</t>
        </is>
      </c>
      <c r="E47" t="inlineStr">
        <is>
          <t>ESLÖV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46200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43808-2024</t>
        </is>
      </c>
      <c r="B49" s="1" t="n">
        <v>45571</v>
      </c>
      <c r="C49" s="1" t="n">
        <v>46200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32984-2024</t>
        </is>
      </c>
      <c r="B50" s="1" t="n">
        <v>45517</v>
      </c>
      <c r="C50" s="1" t="n">
        <v>46200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9484-2023</t>
        </is>
      </c>
      <c r="B51" s="1" t="n">
        <v>44981</v>
      </c>
      <c r="C51" s="1" t="n">
        <v>46200</v>
      </c>
      <c r="D51" t="inlineStr">
        <is>
          <t>SKÅNE LÄN</t>
        </is>
      </c>
      <c r="E51" t="inlineStr">
        <is>
          <t>ESLÖV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47345-2025</t>
        </is>
      </c>
      <c r="B52" s="1" t="n">
        <v>45930</v>
      </c>
      <c r="C52" s="1" t="n">
        <v>46200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46200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16792-2024</t>
        </is>
      </c>
      <c r="B54" s="1" t="n">
        <v>45411</v>
      </c>
      <c r="C54" s="1" t="n">
        <v>46200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46200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2691-2026</t>
        </is>
      </c>
      <c r="B56" s="1" t="n">
        <v>46037</v>
      </c>
      <c r="C56" s="1" t="n">
        <v>46200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58721-2025</t>
        </is>
      </c>
      <c r="B57" s="1" t="n">
        <v>45986</v>
      </c>
      <c r="C57" s="1" t="n">
        <v>46200</v>
      </c>
      <c r="D57" t="inlineStr">
        <is>
          <t>SKÅNE LÄN</t>
        </is>
      </c>
      <c r="E57" t="inlineStr">
        <is>
          <t>ESLÖV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9849-2026</t>
        </is>
      </c>
      <c r="B58" s="1" t="n">
        <v>46072</v>
      </c>
      <c r="C58" s="1" t="n">
        <v>46200</v>
      </c>
      <c r="D58" t="inlineStr">
        <is>
          <t>SKÅNE LÄN</t>
        </is>
      </c>
      <c r="E58" t="inlineStr">
        <is>
          <t>ESLÖV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10111-2026</t>
        </is>
      </c>
      <c r="B59" s="1" t="n">
        <v>46074</v>
      </c>
      <c r="C59" s="1" t="n">
        <v>46200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14013-2026</t>
        </is>
      </c>
      <c r="B60" s="1" t="n">
        <v>46098</v>
      </c>
      <c r="C60" s="1" t="n">
        <v>46200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14386-2026</t>
        </is>
      </c>
      <c r="B61" s="1" t="n">
        <v>46100</v>
      </c>
      <c r="C61" s="1" t="n">
        <v>46200</v>
      </c>
      <c r="D61" t="inlineStr">
        <is>
          <t>SKÅNE LÄN</t>
        </is>
      </c>
      <c r="E61" t="inlineStr">
        <is>
          <t>ESLÖV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18281-2026</t>
        </is>
      </c>
      <c r="B62" s="1" t="n">
        <v>46125</v>
      </c>
      <c r="C62" s="1" t="n">
        <v>46200</v>
      </c>
      <c r="D62" t="inlineStr">
        <is>
          <t>SKÅNE LÄN</t>
        </is>
      </c>
      <c r="E62" t="inlineStr">
        <is>
          <t>ESLÖV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25730-2026</t>
        </is>
      </c>
      <c r="B63" s="1" t="n">
        <v>46178</v>
      </c>
      <c r="C63" s="1" t="n">
        <v>46200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26169-2026</t>
        </is>
      </c>
      <c r="B64" s="1" t="n">
        <v>46181</v>
      </c>
      <c r="C64" s="1" t="n">
        <v>46200</v>
      </c>
      <c r="D64" t="inlineStr">
        <is>
          <t>SKÅNE LÄN</t>
        </is>
      </c>
      <c r="E64" t="inlineStr">
        <is>
          <t>ESLÖV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26497-2026</t>
        </is>
      </c>
      <c r="B65" s="1" t="n">
        <v>46183</v>
      </c>
      <c r="C65" s="1" t="n">
        <v>46200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26165-2026</t>
        </is>
      </c>
      <c r="B66" s="1" t="n">
        <v>46181</v>
      </c>
      <c r="C66" s="1" t="n">
        <v>46200</v>
      </c>
      <c r="D66" t="inlineStr">
        <is>
          <t>SKÅNE LÄN</t>
        </is>
      </c>
      <c r="E66" t="inlineStr">
        <is>
          <t>ESLÖV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18503-2026</t>
        </is>
      </c>
      <c r="B67" s="1" t="n">
        <v>46127</v>
      </c>
      <c r="C67" s="1" t="n">
        <v>46200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27428-2026</t>
        </is>
      </c>
      <c r="B68" s="1" t="n">
        <v>46189</v>
      </c>
      <c r="C68" s="1" t="n">
        <v>46200</v>
      </c>
      <c r="D68" t="inlineStr">
        <is>
          <t>SKÅNE LÄN</t>
        </is>
      </c>
      <c r="E68" t="inlineStr">
        <is>
          <t>ESLÖV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27435-2026</t>
        </is>
      </c>
      <c r="B69" s="1" t="n">
        <v>46189</v>
      </c>
      <c r="C69" s="1" t="n">
        <v>46200</v>
      </c>
      <c r="D69" t="inlineStr">
        <is>
          <t>SKÅNE LÄN</t>
        </is>
      </c>
      <c r="E69" t="inlineStr">
        <is>
          <t>ESLÖV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27439-2026</t>
        </is>
      </c>
      <c r="B70" s="1" t="n">
        <v>46189</v>
      </c>
      <c r="C70" s="1" t="n">
        <v>46200</v>
      </c>
      <c r="D70" t="inlineStr">
        <is>
          <t>SKÅNE LÄN</t>
        </is>
      </c>
      <c r="E70" t="inlineStr">
        <is>
          <t>ESLÖV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10819-2026</t>
        </is>
      </c>
      <c r="B71" s="1" t="n">
        <v>46078</v>
      </c>
      <c r="C71" s="1" t="n">
        <v>46200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22134-2026</t>
        </is>
      </c>
      <c r="B72" s="1" t="n">
        <v>46153</v>
      </c>
      <c r="C72" s="1" t="n">
        <v>46200</v>
      </c>
      <c r="D72" t="inlineStr">
        <is>
          <t>SKÅNE LÄN</t>
        </is>
      </c>
      <c r="E72" t="inlineStr">
        <is>
          <t>ESLÖV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2026-06-27T00:56:30Z</dcterms:created>
  <dcterms:modified xmlns:dcterms="http://purl.org/dc/terms/" xmlns:xsi="http://www.w3.org/2001/XMLSchema-instance" xsi:type="dcterms:W3CDTF">2026-06-27T00:56:30Z</dcterms:modified>
</cp:coreProperties>
</file>