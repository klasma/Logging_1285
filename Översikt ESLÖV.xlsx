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46253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46253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46253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46253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46253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46253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46253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46253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46253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46253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46253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27443-2026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46189</v>
      </c>
      <c r="E13" s="1" t="n">
        <v>46253</v>
      </c>
      <c r="F13" t="inlineStr">
        <is>
          <t>SKÅNE LÄN</t>
        </is>
      </c>
      <c r="G13" t="inlineStr">
        <is>
          <t>ESLÖV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Slåttergubbe</t>
        </is>
      </c>
      <c r="W13">
        <f>HYPERLINK("https://klasma.github.io/Logging_1285/artfynd/A 27443-2026 artfynd.xlsx", "A 27443-2026")</f>
        <v/>
      </c>
      <c r="X13">
        <f>HYPERLINK("https://klasma.github.io/Logging_1285/kartor/A 27443-2026 karta.png", "A 27443-2026")</f>
        <v/>
      </c>
      <c r="Y13">
        <f>HYPERLINK("https://klasma.github.io/Logging_1285/kartor_geotiff/A 27443-2026 georefererad karta.tif", "A 27443-2026")</f>
        <v/>
      </c>
      <c r="AA13">
        <f>HYPERLINK("https://klasma.github.io/Logging_1285/klagomål/A 27443-2026 FSC-klagomål.docx", "A 27443-2026")</f>
        <v/>
      </c>
      <c r="AB13">
        <f>HYPERLINK("https://klasma.github.io/Logging_1285/klagomålsmail/A 27443-2026 FSC-klagomål mail.docx", "A 27443-2026")</f>
        <v/>
      </c>
      <c r="AC13">
        <f>HYPERLINK("https://klasma.github.io/Logging_1285/tillsyn/A 27443-2026 tillsynsbegäran.docx", "A 27443-2026")</f>
        <v/>
      </c>
      <c r="AD13">
        <f>HYPERLINK("https://klasma.github.io/Logging_1285/tillsynsmail/A 27443-2026 tillsynsbegäran mail.docx", "A 27443-2026")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46253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46253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46253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24809-2025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45799</v>
      </c>
      <c r="E17" s="1" t="n">
        <v>46253</v>
      </c>
      <c r="F17" t="inlineStr">
        <is>
          <t>SKÅNE LÄN</t>
        </is>
      </c>
      <c r="G17" t="inlineStr">
        <is>
          <t>ESLÖV</t>
        </is>
      </c>
      <c r="I17" t="n">
        <v>1.4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HYPERLINK("https://klasma.github.io/Logging_1285/artfynd/A 24809-2025 artfynd.xlsx", "A 24809-2025")</f>
        <v/>
      </c>
      <c r="X17">
        <f>HYPERLINK("https://klasma.github.io/Logging_1285/kartor/A 24809-2025 karta.png", "A 24809-2025")</f>
        <v/>
      </c>
      <c r="Y17">
        <f>HYPERLINK("https://klasma.github.io/Logging_1285/kartor_geotiff/A 24809-2025 georefererad karta.tif", "A 24809-2025")</f>
        <v/>
      </c>
      <c r="AA17">
        <f>HYPERLINK("https://klasma.github.io/Logging_1285/klagomål/A 24809-2025 FSC-klagomål.docx", "A 24809-2025")</f>
        <v/>
      </c>
      <c r="AB17">
        <f>HYPERLINK("https://klasma.github.io/Logging_1285/klagomålsmail/A 24809-2025 FSC-klagomål mail.docx", "A 24809-2025")</f>
        <v/>
      </c>
      <c r="AC17">
        <f>HYPERLINK("https://klasma.github.io/Logging_1285/tillsyn/A 24809-2025 tillsynsbegäran.docx", "A 24809-2025")</f>
        <v/>
      </c>
      <c r="AD17">
        <f>HYPERLINK("https://klasma.github.io/Logging_1285/tillsynsmail/A 24809-2025 tillsynsbegäran mail.docx", "A 24809-2025")</f>
        <v/>
      </c>
      <c r="AE17">
        <f>HYPERLINK("https://klasma.github.io/Logging_1285/fåglar/A 24809-2025 prioriterade fågelarter.docx", "A 24809-2025")</f>
        <v/>
      </c>
    </row>
    <row r="18" ht="15" customHeight="1">
      <c r="A18" t="inlineStr">
        <is>
          <t>A 74008-2021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44553</v>
      </c>
      <c r="E18" s="1" t="n">
        <v>46253</v>
      </c>
      <c r="F18" t="inlineStr">
        <is>
          <t>SKÅNE LÄN</t>
        </is>
      </c>
      <c r="G18" t="inlineStr">
        <is>
          <t>ESLÖV</t>
        </is>
      </c>
      <c r="I18" t="n">
        <v>0.8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18872-2022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44690</v>
      </c>
      <c r="E19" s="1" t="n">
        <v>46253</v>
      </c>
      <c r="F19" t="inlineStr">
        <is>
          <t>SKÅNE LÄN</t>
        </is>
      </c>
      <c r="G19" t="inlineStr">
        <is>
          <t>ESLÖV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46253</v>
      </c>
      <c r="F20" t="inlineStr">
        <is>
          <t>SKÅNE LÄN</t>
        </is>
      </c>
      <c r="G20" t="inlineStr">
        <is>
          <t>ESLÖV</t>
        </is>
      </c>
      <c r="I20" t="n">
        <v>6.9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15467-2025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45747</v>
      </c>
      <c r="E21" s="1" t="n">
        <v>46253</v>
      </c>
      <c r="F21" t="inlineStr">
        <is>
          <t>SKÅNE LÄN</t>
        </is>
      </c>
      <c r="G21" t="inlineStr">
        <is>
          <t>ESLÖV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11221-2024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45371</v>
      </c>
      <c r="E22" s="1" t="n">
        <v>46253</v>
      </c>
      <c r="F22" t="inlineStr">
        <is>
          <t>SKÅNE LÄN</t>
        </is>
      </c>
      <c r="G22" t="inlineStr">
        <is>
          <t>ESLÖV</t>
        </is>
      </c>
      <c r="I22" t="n">
        <v>0.3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46253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5869-2023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44958</v>
      </c>
      <c r="E24" s="1" t="n">
        <v>46253</v>
      </c>
      <c r="F24" t="inlineStr">
        <is>
          <t>SKÅNE LÄN</t>
        </is>
      </c>
      <c r="G24" t="inlineStr">
        <is>
          <t>ESLÖV</t>
        </is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46253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9482-2023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44981</v>
      </c>
      <c r="E26" s="1" t="n">
        <v>46253</v>
      </c>
      <c r="F26" t="inlineStr">
        <is>
          <t>SKÅNE LÄN</t>
        </is>
      </c>
      <c r="G26" t="inlineStr">
        <is>
          <t>ESLÖV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43808-2024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45571</v>
      </c>
      <c r="E27" s="1" t="n">
        <v>46253</v>
      </c>
      <c r="F27" t="inlineStr">
        <is>
          <t>SKÅNE LÄN</t>
        </is>
      </c>
      <c r="G27" t="inlineStr">
        <is>
          <t>ESLÖV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28088-2025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45817</v>
      </c>
      <c r="E28" s="1" t="n">
        <v>46253</v>
      </c>
      <c r="F28" t="inlineStr">
        <is>
          <t>SKÅNE LÄN</t>
        </is>
      </c>
      <c r="G28" t="inlineStr">
        <is>
          <t>ESLÖV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58721-2025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45986</v>
      </c>
      <c r="E29" s="1" t="n">
        <v>46253</v>
      </c>
      <c r="F29" t="inlineStr">
        <is>
          <t>SKÅNE LÄN</t>
        </is>
      </c>
      <c r="G29" t="inlineStr">
        <is>
          <t>ESLÖV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11204-2023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46253</v>
      </c>
      <c r="F30" t="inlineStr">
        <is>
          <t>SKÅNE LÄN</t>
        </is>
      </c>
      <c r="G30" t="inlineStr">
        <is>
          <t>ESLÖV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9849-2026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46072</v>
      </c>
      <c r="E31" s="1" t="n">
        <v>46253</v>
      </c>
      <c r="F31" t="inlineStr">
        <is>
          <t>SKÅNE LÄN</t>
        </is>
      </c>
      <c r="G31" t="inlineStr">
        <is>
          <t>ESLÖV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25508-2023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45089</v>
      </c>
      <c r="E32" s="1" t="n">
        <v>46253</v>
      </c>
      <c r="F32" t="inlineStr">
        <is>
          <t>SKÅNE LÄN</t>
        </is>
      </c>
      <c r="G32" t="inlineStr">
        <is>
          <t>ESLÖV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9686-2023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44984</v>
      </c>
      <c r="E33" s="1" t="n">
        <v>46253</v>
      </c>
      <c r="F33" t="inlineStr">
        <is>
          <t>SKÅNE LÄN</t>
        </is>
      </c>
      <c r="G33" t="inlineStr">
        <is>
          <t>ESLÖV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45930</v>
      </c>
      <c r="E34" s="1" t="n">
        <v>46253</v>
      </c>
      <c r="F34" t="inlineStr">
        <is>
          <t>SKÅNE LÄN</t>
        </is>
      </c>
      <c r="G34" t="inlineStr">
        <is>
          <t>ESLÖV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14386-2026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46100</v>
      </c>
      <c r="E35" s="1" t="n">
        <v>46253</v>
      </c>
      <c r="F35" t="inlineStr">
        <is>
          <t>SKÅNE LÄN</t>
        </is>
      </c>
      <c r="G35" t="inlineStr">
        <is>
          <t>ESLÖV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7409-2025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45705</v>
      </c>
      <c r="E36" s="1" t="n">
        <v>46253</v>
      </c>
      <c r="F36" t="inlineStr">
        <is>
          <t>SKÅNE LÄN</t>
        </is>
      </c>
      <c r="G36" t="inlineStr">
        <is>
          <t>ESLÖV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46253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36761-2022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44805</v>
      </c>
      <c r="E38" s="1" t="n">
        <v>46253</v>
      </c>
      <c r="F38" t="inlineStr">
        <is>
          <t>SKÅNE LÄN</t>
        </is>
      </c>
      <c r="G38" t="inlineStr">
        <is>
          <t>ESLÖV</t>
        </is>
      </c>
      <c r="I38" t="n">
        <v>4.8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35996-2025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45863</v>
      </c>
      <c r="E39" s="1" t="n">
        <v>46253</v>
      </c>
      <c r="F39" t="inlineStr">
        <is>
          <t>SKÅNE LÄN</t>
        </is>
      </c>
      <c r="G39" t="inlineStr">
        <is>
          <t>ESLÖV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35997-2025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45863</v>
      </c>
      <c r="E40" s="1" t="n">
        <v>46253</v>
      </c>
      <c r="F40" t="inlineStr">
        <is>
          <t>SKÅNE LÄN</t>
        </is>
      </c>
      <c r="G40" t="inlineStr">
        <is>
          <t>ESLÖV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46253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10940-2024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45370</v>
      </c>
      <c r="E42" s="1" t="n">
        <v>46253</v>
      </c>
      <c r="F42" t="inlineStr">
        <is>
          <t>SKÅNE LÄN</t>
        </is>
      </c>
      <c r="G42" t="inlineStr">
        <is>
          <t>ESLÖV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47870-2025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45932</v>
      </c>
      <c r="E43" s="1" t="n">
        <v>46253</v>
      </c>
      <c r="F43" t="inlineStr">
        <is>
          <t>SKÅNE LÄN</t>
        </is>
      </c>
      <c r="G43" t="inlineStr">
        <is>
          <t>ESLÖV</t>
        </is>
      </c>
      <c r="I43" t="n">
        <v>6.8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22134-2026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46153</v>
      </c>
      <c r="E44" s="1" t="n">
        <v>46253</v>
      </c>
      <c r="F44" t="inlineStr">
        <is>
          <t>SKÅNE LÄN</t>
        </is>
      </c>
      <c r="G44" t="inlineStr">
        <is>
          <t>ESLÖV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18503-2026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46127</v>
      </c>
      <c r="E45" s="1" t="n">
        <v>46253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7016-2025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45701</v>
      </c>
      <c r="E46" s="1" t="n">
        <v>46253</v>
      </c>
      <c r="F46" t="inlineStr">
        <is>
          <t>SKÅNE LÄN</t>
        </is>
      </c>
      <c r="G46" t="inlineStr">
        <is>
          <t>ESLÖV</t>
        </is>
      </c>
      <c r="H46" t="inlineStr">
        <is>
          <t>Sveaskog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10819-2026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46078</v>
      </c>
      <c r="E47" s="1" t="n">
        <v>46253</v>
      </c>
      <c r="F47" t="inlineStr">
        <is>
          <t>SKÅNE LÄN</t>
        </is>
      </c>
      <c r="G47" t="inlineStr">
        <is>
          <t>ESLÖV</t>
        </is>
      </c>
      <c r="I47" t="n">
        <v>4.9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45306</v>
      </c>
      <c r="E48" s="1" t="n">
        <v>46253</v>
      </c>
      <c r="F48" t="inlineStr">
        <is>
          <t>SKÅNE LÄN</t>
        </is>
      </c>
      <c r="G48" t="inlineStr">
        <is>
          <t>ESLÖV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46253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46253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46253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46253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16670-2025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46253</v>
      </c>
      <c r="F53" t="inlineStr">
        <is>
          <t>SKÅNE LÄN</t>
        </is>
      </c>
      <c r="G53" t="inlineStr">
        <is>
          <t>ESLÖV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45139</v>
      </c>
      <c r="E54" s="1" t="n">
        <v>46253</v>
      </c>
      <c r="F54" t="inlineStr">
        <is>
          <t>SKÅNE LÄN</t>
        </is>
      </c>
      <c r="G54" t="inlineStr">
        <is>
          <t>ESLÖV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27428-2026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46253</v>
      </c>
      <c r="F55" t="inlineStr">
        <is>
          <t>SKÅNE LÄN</t>
        </is>
      </c>
      <c r="G55" t="inlineStr">
        <is>
          <t>ESLÖV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46253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46253</v>
      </c>
      <c r="F57" t="inlineStr">
        <is>
          <t>SKÅNE LÄN</t>
        </is>
      </c>
      <c r="G57" t="inlineStr">
        <is>
          <t>ESLÖV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62496-2023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45268</v>
      </c>
      <c r="E58" s="1" t="n">
        <v>46253</v>
      </c>
      <c r="F58" t="inlineStr">
        <is>
          <t>SKÅNE LÄN</t>
        </is>
      </c>
      <c r="G58" t="inlineStr">
        <is>
          <t>ESLÖV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34170-2023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45138</v>
      </c>
      <c r="E59" s="1" t="n">
        <v>46253</v>
      </c>
      <c r="F59" t="inlineStr">
        <is>
          <t>SKÅNE LÄN</t>
        </is>
      </c>
      <c r="G59" t="inlineStr">
        <is>
          <t>ESLÖV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46253</v>
      </c>
      <c r="F60" t="inlineStr">
        <is>
          <t>SKÅNE LÄN</t>
        </is>
      </c>
      <c r="G60" t="inlineStr">
        <is>
          <t>ESLÖV</t>
        </is>
      </c>
      <c r="I60" t="n">
        <v>4.4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44981</v>
      </c>
      <c r="E61" s="1" t="n">
        <v>46253</v>
      </c>
      <c r="F61" t="inlineStr">
        <is>
          <t>SKÅNE LÄN</t>
        </is>
      </c>
      <c r="G61" t="inlineStr">
        <is>
          <t>ESLÖV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16733-2023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46253</v>
      </c>
      <c r="F62" t="inlineStr">
        <is>
          <t>SKÅNE LÄN</t>
        </is>
      </c>
      <c r="G62" t="inlineStr">
        <is>
          <t>ESLÖV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46253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34466-2023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46253</v>
      </c>
      <c r="F64" t="inlineStr">
        <is>
          <t>SKÅNE LÄN</t>
        </is>
      </c>
      <c r="G64" t="inlineStr">
        <is>
          <t>ESLÖV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46253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44596</v>
      </c>
      <c r="E66" s="1" t="n">
        <v>46253</v>
      </c>
      <c r="F66" t="inlineStr">
        <is>
          <t>SKÅNE LÄN</t>
        </is>
      </c>
      <c r="G66" t="inlineStr">
        <is>
          <t>ESLÖV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46253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15357-2023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45019</v>
      </c>
      <c r="E68" s="1" t="n">
        <v>46253</v>
      </c>
      <c r="F68" t="inlineStr">
        <is>
          <t>SKÅNE LÄN</t>
        </is>
      </c>
      <c r="G68" t="inlineStr">
        <is>
          <t>ESLÖV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46253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46253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16792-2024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45411</v>
      </c>
      <c r="E71" s="1" t="n">
        <v>46253</v>
      </c>
      <c r="F71" t="inlineStr">
        <is>
          <t>SKÅNE LÄN</t>
        </is>
      </c>
      <c r="G71" t="inlineStr">
        <is>
          <t>ESLÖV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2026-08-19T01:49:19Z</dcterms:created>
  <dcterms:modified xmlns:dcterms="http://purl.org/dc/terms/" xmlns:xsi="http://www.w3.org/2001/XMLSchema-instance" xsi:type="dcterms:W3CDTF">2026-08-19T01:49:19Z</dcterms:modified>
</cp:coreProperties>
</file>